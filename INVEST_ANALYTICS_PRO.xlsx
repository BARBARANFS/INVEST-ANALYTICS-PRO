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abin\Downloads\"/>
    </mc:Choice>
  </mc:AlternateContent>
  <xr:revisionPtr revIDLastSave="0" documentId="13_ncr:1_{CCA2BB9D-8CA1-4EC4-8D1D-BA9F6875556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ome" sheetId="1" r:id="rId1"/>
    <sheet name="Simulação" sheetId="2" r:id="rId2"/>
  </sheets>
  <definedNames>
    <definedName name="_xlnm._FilterDatabase" localSheetId="1" hidden="1">Simulação!$B$24:$H$113</definedName>
    <definedName name="_xlnm.Print_Area" localSheetId="0">Home!$B$2:$N$16</definedName>
    <definedName name="_xlnm.Print_Area" localSheetId="1">Simulação!$B$2:$N$113</definedName>
    <definedName name="ListaCodigos">Simulação!$B$25:$B$52</definedName>
  </definedName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13" i="2" l="1"/>
  <c r="D113" i="2"/>
  <c r="C113" i="2"/>
  <c r="H112" i="2"/>
  <c r="D112" i="2"/>
  <c r="C112" i="2"/>
  <c r="H111" i="2"/>
  <c r="D111" i="2"/>
  <c r="C111" i="2"/>
  <c r="H110" i="2"/>
  <c r="D110" i="2"/>
  <c r="C110" i="2"/>
  <c r="H109" i="2"/>
  <c r="D109" i="2"/>
  <c r="C109" i="2"/>
  <c r="H108" i="2"/>
  <c r="D108" i="2"/>
  <c r="C108" i="2"/>
  <c r="H107" i="2"/>
  <c r="D107" i="2"/>
  <c r="C107" i="2"/>
  <c r="H106" i="2"/>
  <c r="D106" i="2"/>
  <c r="C106" i="2"/>
  <c r="H105" i="2"/>
  <c r="D105" i="2"/>
  <c r="C105" i="2"/>
  <c r="H104" i="2"/>
  <c r="D104" i="2"/>
  <c r="C104" i="2"/>
  <c r="H103" i="2"/>
  <c r="D103" i="2"/>
  <c r="C103" i="2"/>
  <c r="H102" i="2"/>
  <c r="D102" i="2"/>
  <c r="C102" i="2"/>
  <c r="H101" i="2"/>
  <c r="D101" i="2"/>
  <c r="C101" i="2"/>
  <c r="H100" i="2"/>
  <c r="D100" i="2"/>
  <c r="C100" i="2"/>
  <c r="H99" i="2"/>
  <c r="D99" i="2"/>
  <c r="C99" i="2"/>
  <c r="H98" i="2"/>
  <c r="D98" i="2"/>
  <c r="C98" i="2"/>
  <c r="H97" i="2"/>
  <c r="D97" i="2"/>
  <c r="C97" i="2"/>
  <c r="H96" i="2"/>
  <c r="D96" i="2"/>
  <c r="C96" i="2"/>
  <c r="H95" i="2"/>
  <c r="D95" i="2"/>
  <c r="C95" i="2"/>
  <c r="H94" i="2"/>
  <c r="D94" i="2"/>
  <c r="C94" i="2"/>
  <c r="H93" i="2"/>
  <c r="D93" i="2"/>
  <c r="C93" i="2"/>
  <c r="H92" i="2"/>
  <c r="D92" i="2"/>
  <c r="C92" i="2"/>
  <c r="H91" i="2"/>
  <c r="D91" i="2"/>
  <c r="C91" i="2"/>
  <c r="H90" i="2"/>
  <c r="D90" i="2"/>
  <c r="C90" i="2"/>
  <c r="H89" i="2"/>
  <c r="D89" i="2"/>
  <c r="C89" i="2"/>
  <c r="H88" i="2"/>
  <c r="D88" i="2"/>
  <c r="C88" i="2"/>
  <c r="H87" i="2"/>
  <c r="D87" i="2"/>
  <c r="C87" i="2"/>
  <c r="H86" i="2"/>
  <c r="D86" i="2"/>
  <c r="C86" i="2"/>
  <c r="H85" i="2"/>
  <c r="D85" i="2"/>
  <c r="C85" i="2"/>
  <c r="H84" i="2"/>
  <c r="D84" i="2"/>
  <c r="C84" i="2"/>
  <c r="H83" i="2"/>
  <c r="D83" i="2"/>
  <c r="C83" i="2"/>
  <c r="H82" i="2"/>
  <c r="D82" i="2"/>
  <c r="C82" i="2"/>
  <c r="H81" i="2"/>
  <c r="D81" i="2"/>
  <c r="C81" i="2"/>
  <c r="H80" i="2"/>
  <c r="D80" i="2"/>
  <c r="C80" i="2"/>
  <c r="H79" i="2"/>
  <c r="D79" i="2"/>
  <c r="C79" i="2"/>
  <c r="H78" i="2"/>
  <c r="D78" i="2"/>
  <c r="C78" i="2"/>
  <c r="H77" i="2"/>
  <c r="D77" i="2"/>
  <c r="C77" i="2"/>
  <c r="H76" i="2"/>
  <c r="D76" i="2"/>
  <c r="C76" i="2"/>
  <c r="H75" i="2"/>
  <c r="D75" i="2"/>
  <c r="C75" i="2"/>
  <c r="H74" i="2"/>
  <c r="D74" i="2"/>
  <c r="C74" i="2"/>
  <c r="H73" i="2"/>
  <c r="D73" i="2"/>
  <c r="C73" i="2"/>
  <c r="H72" i="2"/>
  <c r="D72" i="2"/>
  <c r="C72" i="2"/>
  <c r="H71" i="2"/>
  <c r="D71" i="2"/>
  <c r="C71" i="2"/>
  <c r="H70" i="2"/>
  <c r="D70" i="2"/>
  <c r="C70" i="2"/>
  <c r="H69" i="2"/>
  <c r="D69" i="2"/>
  <c r="C69" i="2"/>
  <c r="H68" i="2"/>
  <c r="D68" i="2"/>
  <c r="C68" i="2"/>
  <c r="H67" i="2"/>
  <c r="D67" i="2"/>
  <c r="C67" i="2"/>
  <c r="H66" i="2"/>
  <c r="D66" i="2"/>
  <c r="C66" i="2"/>
  <c r="H65" i="2"/>
  <c r="D65" i="2"/>
  <c r="C65" i="2"/>
  <c r="H64" i="2"/>
  <c r="D64" i="2"/>
  <c r="C64" i="2"/>
  <c r="H63" i="2"/>
  <c r="D63" i="2"/>
  <c r="C63" i="2"/>
  <c r="H62" i="2"/>
  <c r="D62" i="2"/>
  <c r="C62" i="2"/>
  <c r="H61" i="2"/>
  <c r="D61" i="2"/>
  <c r="C61" i="2"/>
  <c r="H60" i="2"/>
  <c r="D60" i="2"/>
  <c r="C60" i="2"/>
  <c r="H59" i="2"/>
  <c r="D59" i="2"/>
  <c r="C59" i="2"/>
  <c r="H58" i="2"/>
  <c r="D58" i="2"/>
  <c r="C58" i="2"/>
  <c r="H57" i="2"/>
  <c r="D57" i="2"/>
  <c r="C57" i="2"/>
  <c r="H56" i="2"/>
  <c r="D56" i="2"/>
  <c r="C56" i="2"/>
  <c r="H55" i="2"/>
  <c r="D55" i="2"/>
  <c r="C55" i="2"/>
  <c r="H54" i="2"/>
  <c r="D54" i="2"/>
  <c r="C54" i="2"/>
  <c r="C19" i="2"/>
  <c r="C16" i="2"/>
  <c r="C10" i="2"/>
  <c r="C9" i="2"/>
  <c r="C8" i="2"/>
  <c r="C7" i="2"/>
  <c r="I113" i="2" l="1"/>
  <c r="E54" i="2"/>
  <c r="F54" i="2" s="1"/>
  <c r="G54" i="2" s="1"/>
  <c r="G6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G7" i="2" l="1"/>
  <c r="J54" i="2"/>
  <c r="E55" i="2"/>
  <c r="F55" i="2" s="1"/>
  <c r="G55" i="2" l="1"/>
  <c r="J55" i="2"/>
  <c r="E56" i="2" l="1"/>
  <c r="F56" i="2" s="1"/>
  <c r="J56" i="2" l="1"/>
  <c r="G56" i="2"/>
  <c r="E57" i="2" l="1"/>
  <c r="F57" i="2" s="1"/>
  <c r="J57" i="2" l="1"/>
  <c r="G57" i="2"/>
  <c r="E58" i="2" l="1"/>
  <c r="F58" i="2" s="1"/>
  <c r="J58" i="2" l="1"/>
  <c r="G58" i="2"/>
  <c r="E59" i="2" l="1"/>
  <c r="F59" i="2" s="1"/>
  <c r="J59" i="2" l="1"/>
  <c r="G59" i="2"/>
  <c r="E60" i="2" l="1"/>
  <c r="F60" i="2" s="1"/>
  <c r="J60" i="2" s="1"/>
  <c r="G60" i="2" l="1"/>
  <c r="E61" i="2" l="1"/>
  <c r="F61" i="2" s="1"/>
  <c r="J61" i="2" s="1"/>
  <c r="G61" i="2" l="1"/>
  <c r="E62" i="2" l="1"/>
  <c r="F62" i="2" s="1"/>
  <c r="J62" i="2" s="1"/>
  <c r="G62" i="2" l="1"/>
  <c r="E63" i="2" l="1"/>
  <c r="F63" i="2" s="1"/>
  <c r="J63" i="2" s="1"/>
  <c r="G63" i="2" l="1"/>
  <c r="E64" i="2" l="1"/>
  <c r="F64" i="2" s="1"/>
  <c r="J64" i="2" s="1"/>
  <c r="G64" i="2" l="1"/>
  <c r="E65" i="2" l="1"/>
  <c r="F65" i="2" s="1"/>
  <c r="J65" i="2" s="1"/>
  <c r="G65" i="2" l="1"/>
  <c r="E66" i="2" s="1"/>
  <c r="F66" i="2" s="1"/>
  <c r="J66" i="2" s="1"/>
  <c r="G66" i="2" l="1"/>
  <c r="E67" i="2" l="1"/>
  <c r="F67" i="2" s="1"/>
  <c r="J67" i="2" s="1"/>
  <c r="G67" i="2" l="1"/>
  <c r="E68" i="2" l="1"/>
  <c r="F68" i="2" s="1"/>
  <c r="J68" i="2" s="1"/>
  <c r="G68" i="2" l="1"/>
  <c r="E69" i="2" l="1"/>
  <c r="F69" i="2" s="1"/>
  <c r="J69" i="2" s="1"/>
  <c r="G69" i="2" l="1"/>
  <c r="E70" i="2" l="1"/>
  <c r="F70" i="2" s="1"/>
  <c r="J70" i="2" s="1"/>
  <c r="G70" i="2" l="1"/>
  <c r="E71" i="2" l="1"/>
  <c r="F71" i="2" s="1"/>
  <c r="J71" i="2" s="1"/>
  <c r="G71" i="2" l="1"/>
  <c r="E72" i="2" l="1"/>
  <c r="F72" i="2" s="1"/>
  <c r="J72" i="2" s="1"/>
  <c r="G72" i="2" l="1"/>
  <c r="E73" i="2" s="1"/>
  <c r="F73" i="2" s="1"/>
  <c r="J73" i="2" s="1"/>
  <c r="G73" i="2" l="1"/>
  <c r="E74" i="2" l="1"/>
  <c r="F74" i="2" s="1"/>
  <c r="J74" i="2" s="1"/>
  <c r="G74" i="2" l="1"/>
  <c r="E75" i="2" l="1"/>
  <c r="F75" i="2" s="1"/>
  <c r="J75" i="2" s="1"/>
  <c r="G75" i="2" l="1"/>
  <c r="E76" i="2" l="1"/>
  <c r="F76" i="2" s="1"/>
  <c r="J76" i="2" s="1"/>
  <c r="G76" i="2" l="1"/>
  <c r="E77" i="2" l="1"/>
  <c r="F77" i="2" s="1"/>
  <c r="J77" i="2" s="1"/>
  <c r="G77" i="2" l="1"/>
  <c r="E78" i="2" l="1"/>
  <c r="F78" i="2" s="1"/>
  <c r="J78" i="2" s="1"/>
  <c r="G78" i="2" l="1"/>
  <c r="E79" i="2" l="1"/>
  <c r="F79" i="2" s="1"/>
  <c r="J79" i="2" s="1"/>
  <c r="G79" i="2" l="1"/>
  <c r="E80" i="2" l="1"/>
  <c r="F80" i="2" s="1"/>
  <c r="J80" i="2" s="1"/>
  <c r="G80" i="2" l="1"/>
  <c r="E81" i="2" l="1"/>
  <c r="F81" i="2" s="1"/>
  <c r="J81" i="2" s="1"/>
  <c r="G81" i="2" l="1"/>
  <c r="E82" i="2" l="1"/>
  <c r="F82" i="2" s="1"/>
  <c r="J82" i="2" s="1"/>
  <c r="G82" i="2" l="1"/>
  <c r="E83" i="2" s="1"/>
  <c r="F83" i="2" s="1"/>
  <c r="J83" i="2" s="1"/>
  <c r="G83" i="2" l="1"/>
  <c r="E84" i="2" l="1"/>
  <c r="F84" i="2" s="1"/>
  <c r="J84" i="2" s="1"/>
  <c r="G84" i="2" l="1"/>
  <c r="E85" i="2" l="1"/>
  <c r="F85" i="2" s="1"/>
  <c r="J85" i="2" s="1"/>
  <c r="G85" i="2" l="1"/>
  <c r="E86" i="2" l="1"/>
  <c r="F86" i="2" s="1"/>
  <c r="J86" i="2" s="1"/>
  <c r="G86" i="2" l="1"/>
  <c r="E87" i="2" l="1"/>
  <c r="F87" i="2" s="1"/>
  <c r="J87" i="2" s="1"/>
  <c r="G87" i="2" l="1"/>
  <c r="E88" i="2" l="1"/>
  <c r="F88" i="2" s="1"/>
  <c r="J88" i="2" s="1"/>
  <c r="G88" i="2" l="1"/>
  <c r="E89" i="2" l="1"/>
  <c r="F89" i="2" s="1"/>
  <c r="J89" i="2" s="1"/>
  <c r="G89" i="2" l="1"/>
  <c r="E90" i="2" l="1"/>
  <c r="F90" i="2" s="1"/>
  <c r="J90" i="2" s="1"/>
  <c r="G90" i="2" l="1"/>
  <c r="E91" i="2" s="1"/>
  <c r="F91" i="2" s="1"/>
  <c r="J91" i="2" s="1"/>
  <c r="G91" i="2" l="1"/>
  <c r="E92" i="2" l="1"/>
  <c r="F92" i="2" s="1"/>
  <c r="J92" i="2" s="1"/>
  <c r="G92" i="2" l="1"/>
  <c r="E93" i="2" l="1"/>
  <c r="F93" i="2" s="1"/>
  <c r="J93" i="2" s="1"/>
  <c r="G93" i="2" l="1"/>
  <c r="E94" i="2" l="1"/>
  <c r="F94" i="2" s="1"/>
  <c r="J94" i="2" s="1"/>
  <c r="G94" i="2" l="1"/>
  <c r="E95" i="2" l="1"/>
  <c r="F95" i="2" s="1"/>
  <c r="J95" i="2" s="1"/>
  <c r="G95" i="2" l="1"/>
  <c r="E96" i="2" l="1"/>
  <c r="F96" i="2" s="1"/>
  <c r="J96" i="2" s="1"/>
  <c r="G96" i="2" l="1"/>
  <c r="E97" i="2" l="1"/>
  <c r="F97" i="2" s="1"/>
  <c r="J97" i="2" s="1"/>
  <c r="G97" i="2" l="1"/>
  <c r="E98" i="2" s="1"/>
  <c r="F98" i="2" s="1"/>
  <c r="J98" i="2" s="1"/>
  <c r="G98" i="2" l="1"/>
  <c r="E99" i="2" l="1"/>
  <c r="F99" i="2" s="1"/>
  <c r="J99" i="2" s="1"/>
  <c r="G99" i="2" l="1"/>
  <c r="E100" i="2" l="1"/>
  <c r="F100" i="2" s="1"/>
  <c r="J100" i="2" s="1"/>
  <c r="G100" i="2" l="1"/>
  <c r="E101" i="2" l="1"/>
  <c r="F101" i="2" s="1"/>
  <c r="J101" i="2" s="1"/>
  <c r="G101" i="2" l="1"/>
  <c r="E102" i="2" l="1"/>
  <c r="F102" i="2" s="1"/>
  <c r="J102" i="2" s="1"/>
  <c r="G102" i="2" l="1"/>
  <c r="E103" i="2" l="1"/>
  <c r="F103" i="2" s="1"/>
  <c r="J103" i="2" s="1"/>
  <c r="G103" i="2" l="1"/>
  <c r="E104" i="2" s="1"/>
  <c r="F104" i="2" s="1"/>
  <c r="J104" i="2" s="1"/>
  <c r="G104" i="2" l="1"/>
  <c r="E105" i="2" l="1"/>
  <c r="F105" i="2" s="1"/>
  <c r="J105" i="2" s="1"/>
  <c r="G105" i="2" l="1"/>
  <c r="E106" i="2" l="1"/>
  <c r="F106" i="2" s="1"/>
  <c r="J106" i="2" s="1"/>
  <c r="G106" i="2" l="1"/>
  <c r="E107" i="2" l="1"/>
  <c r="F107" i="2" s="1"/>
  <c r="J107" i="2" s="1"/>
  <c r="G107" i="2" l="1"/>
  <c r="E108" i="2" l="1"/>
  <c r="F108" i="2" s="1"/>
  <c r="J108" i="2" s="1"/>
  <c r="G108" i="2" l="1"/>
  <c r="E109" i="2" l="1"/>
  <c r="F109" i="2" s="1"/>
  <c r="J109" i="2" s="1"/>
  <c r="G109" i="2" l="1"/>
  <c r="E110" i="2" l="1"/>
  <c r="F110" i="2" s="1"/>
  <c r="J110" i="2" s="1"/>
  <c r="G110" i="2" l="1"/>
  <c r="E111" i="2" l="1"/>
  <c r="F111" i="2" s="1"/>
  <c r="J111" i="2" s="1"/>
  <c r="G111" i="2" l="1"/>
  <c r="E112" i="2" l="1"/>
  <c r="F112" i="2" s="1"/>
  <c r="J112" i="2" s="1"/>
  <c r="G112" i="2" l="1"/>
  <c r="E113" i="2" l="1"/>
  <c r="F113" i="2" s="1"/>
  <c r="J113" i="2" l="1"/>
  <c r="G8" i="2"/>
  <c r="G113" i="2"/>
  <c r="G9" i="2" s="1"/>
  <c r="G10" i="2" s="1"/>
  <c r="G11" i="2" s="1"/>
</calcChain>
</file>

<file path=xl/sharedStrings.xml><?xml version="1.0" encoding="utf-8"?>
<sst xmlns="http://schemas.openxmlformats.org/spreadsheetml/2006/main" count="234" uniqueCount="124">
  <si>
    <t>📊 INVEST ANALYTICS PRO
Simulador Inteligente de Investimentos</t>
  </si>
  <si>
    <t>🎯 OBJETIVO</t>
  </si>
  <si>
    <t>📋 COMO UTILIZAR</t>
  </si>
  <si>
    <t>Simular diferentes possibilidades de investimento, projetando aportes, rendimentos, patrimônio, lucro e rentabilidade acumulada ao longo do período.</t>
  </si>
  <si>
    <t>1. Vá para a aba Simulação.
2. Escolha o código do produto.
3. Informe investimento inicial, aporte mensal e prazo.
4. Selecione perfil, rentabilidade e reinvestimento.
5. Analise os indicadores e o gráfico.
6. Consulte o fluxo mensal e a base de produtos na mesma aba.</t>
  </si>
  <si>
    <t>A aba Simulação concentra os parâmetros, a seleção do produto, os resultados, o gráfico, o fluxo mensal e a base de produtos. Assim, a ferramenta fica mais simples de navegar sem perder a estrutura analítica do projeto.</t>
  </si>
  <si>
    <t>📈 SIMULAÇÃO DE INVESTIMENTOS</t>
  </si>
  <si>
    <t>⚙️ PARÂMETROS GERAIS</t>
  </si>
  <si>
    <t>DESCRIÇÃO</t>
  </si>
  <si>
    <t>CLASSE</t>
  </si>
  <si>
    <t>VALOR</t>
  </si>
  <si>
    <t>INDICADOR</t>
  </si>
  <si>
    <t>RESULTADO</t>
  </si>
  <si>
    <t>Inflação</t>
  </si>
  <si>
    <t>INFORMAÇÕES</t>
  </si>
  <si>
    <t>Código</t>
  </si>
  <si>
    <t>VALE3</t>
  </si>
  <si>
    <t>Total Investido</t>
  </si>
  <si>
    <t>CDI</t>
  </si>
  <si>
    <t>✓ Fluxo mensal</t>
  </si>
  <si>
    <t>Produto</t>
  </si>
  <si>
    <t>Quantidade Estimada</t>
  </si>
  <si>
    <t>Rentabilidade Conservador</t>
  </si>
  <si>
    <t>✓ Rendimentos</t>
  </si>
  <si>
    <t>Subproduto</t>
  </si>
  <si>
    <t>Rendimentos</t>
  </si>
  <si>
    <t>Rentabilidade Moderado</t>
  </si>
  <si>
    <t>✓ Reinvestimento automático</t>
  </si>
  <si>
    <t>Tipo</t>
  </si>
  <si>
    <t>Patrimônio Final</t>
  </si>
  <si>
    <t>Rentabilidade Arrojado</t>
  </si>
  <si>
    <t>✓ Cenários personalizados</t>
  </si>
  <si>
    <t>Segmento</t>
  </si>
  <si>
    <t>Imposto sobre Dividendos</t>
  </si>
  <si>
    <t>✓ Base de produtos integrada</t>
  </si>
  <si>
    <t>Investimento Inicial</t>
  </si>
  <si>
    <t>Rentabilidade Acumulada</t>
  </si>
  <si>
    <t>Taxa Administração</t>
  </si>
  <si>
    <t>Aporte Mensal</t>
  </si>
  <si>
    <t>Corrigir Aporte pela Inflação</t>
  </si>
  <si>
    <t>Sim</t>
  </si>
  <si>
    <t>Prazo</t>
  </si>
  <si>
    <t>Anos</t>
  </si>
  <si>
    <t>Taxa</t>
  </si>
  <si>
    <t>% a.a.</t>
  </si>
  <si>
    <t>Impostos e Taxas</t>
  </si>
  <si>
    <t>% / R$</t>
  </si>
  <si>
    <t>Rentabilidade</t>
  </si>
  <si>
    <t>Reinvestimento</t>
  </si>
  <si>
    <t>Sim/Não</t>
  </si>
  <si>
    <t>Perfil</t>
  </si>
  <si>
    <t>Arrojado</t>
  </si>
  <si>
    <t>Valor de Referência</t>
  </si>
  <si>
    <t>R$</t>
  </si>
  <si>
    <t>📚 BASE DE PRODUTOS — fonte de seleção da simulação</t>
  </si>
  <si>
    <t>Ativo</t>
  </si>
  <si>
    <t>CDB-PRE</t>
  </si>
  <si>
    <t>CDB</t>
  </si>
  <si>
    <t>Prefixado</t>
  </si>
  <si>
    <t>Renda Fixa</t>
  </si>
  <si>
    <t>Bancário</t>
  </si>
  <si>
    <t>CDB-POS</t>
  </si>
  <si>
    <t>Pós-fixado</t>
  </si>
  <si>
    <t>LCI-PRE</t>
  </si>
  <si>
    <t>LCI</t>
  </si>
  <si>
    <t>Imobiliário</t>
  </si>
  <si>
    <t>LCI-POS</t>
  </si>
  <si>
    <t>LCA-PRE</t>
  </si>
  <si>
    <t>LCA</t>
  </si>
  <si>
    <t>Agronegócio</t>
  </si>
  <si>
    <t>LCA-POS</t>
  </si>
  <si>
    <t>CRI-PRE</t>
  </si>
  <si>
    <t>CRI</t>
  </si>
  <si>
    <t>Crédito Privado</t>
  </si>
  <si>
    <t>CRI-POS</t>
  </si>
  <si>
    <t>CRA-PRE</t>
  </si>
  <si>
    <t>CRA</t>
  </si>
  <si>
    <t>CRA-POS</t>
  </si>
  <si>
    <t>FMM-RF</t>
  </si>
  <si>
    <t>Fundo Multimercado</t>
  </si>
  <si>
    <t>Fundo</t>
  </si>
  <si>
    <t>Multimercado</t>
  </si>
  <si>
    <t>FMM-MULT</t>
  </si>
  <si>
    <t>FIA</t>
  </si>
  <si>
    <t>Fundo de Ações</t>
  </si>
  <si>
    <t>Ações</t>
  </si>
  <si>
    <t>Renda Variável</t>
  </si>
  <si>
    <t>HGLG11</t>
  </si>
  <si>
    <t>FII</t>
  </si>
  <si>
    <t>Logística</t>
  </si>
  <si>
    <t>MXRF11</t>
  </si>
  <si>
    <t>Papel</t>
  </si>
  <si>
    <t>Recebíveis imobiliários</t>
  </si>
  <si>
    <t>XPLG11</t>
  </si>
  <si>
    <t>XPML11</t>
  </si>
  <si>
    <t>Shopping</t>
  </si>
  <si>
    <t>Shopping centers</t>
  </si>
  <si>
    <t>KNCR11</t>
  </si>
  <si>
    <t>Recebíveis</t>
  </si>
  <si>
    <t>TRXF11</t>
  </si>
  <si>
    <t>Renda Urbana</t>
  </si>
  <si>
    <t>Renda urbana</t>
  </si>
  <si>
    <t>PETR4</t>
  </si>
  <si>
    <t>Preferencial</t>
  </si>
  <si>
    <t>Petróleo, Gás e Biocombustíveis</t>
  </si>
  <si>
    <t>PETR3</t>
  </si>
  <si>
    <t>Ordinária</t>
  </si>
  <si>
    <t>Mineração</t>
  </si>
  <si>
    <t>ITUB4</t>
  </si>
  <si>
    <t>Bancos</t>
  </si>
  <si>
    <t>BBDC4</t>
  </si>
  <si>
    <t>BBAS3</t>
  </si>
  <si>
    <t>B3SA3</t>
  </si>
  <si>
    <t>📅 FLUXO MENSAL — DETALHE ANALÍTICO</t>
  </si>
  <si>
    <t>Mês</t>
  </si>
  <si>
    <t>Base de Rendimentos</t>
  </si>
  <si>
    <t>Patrimônio Total</t>
  </si>
  <si>
    <t>Mês Gráfico</t>
  </si>
  <si>
    <t>Rendimentos Acumulados</t>
  </si>
  <si>
    <t>Evolução do patrimônio ao longo do período, considerando aportes, rendimentos e reinvestimento.</t>
  </si>
  <si>
    <t>SIM</t>
  </si>
  <si>
    <t>📌 Estrutura simplificada:  Home  &amp; Simulação</t>
  </si>
  <si>
    <t>Investimento Acumulado</t>
  </si>
  <si>
    <t>Rendimento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</si>
</sst>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17" x14ac:knownFonts="1">
    <font>
      <sz val="11"/>
      <color theme="1"/>
      <name val="Calibri"/>
      <family val="2"/>
      <charset val="1"/>
    </font>
    <font>
      <b/>
      <sz val="24"/>
      <color rgb="FFFFFFFF"/>
      <name val="Aptos"/>
      <family val="2"/>
    </font>
    <font>
      <sz val="24"/>
      <color theme="1"/>
      <name val="Aptos"/>
      <family val="2"/>
    </font>
    <font>
      <sz val="11"/>
      <color theme="1"/>
      <name val="Aptos"/>
      <family val="2"/>
    </font>
    <font>
      <b/>
      <sz val="20"/>
      <color rgb="FFFFFFFF"/>
      <name val="Aptos"/>
      <family val="2"/>
    </font>
    <font>
      <sz val="20"/>
      <color theme="1"/>
      <name val="Aptos"/>
      <family val="2"/>
    </font>
    <font>
      <b/>
      <sz val="12"/>
      <color theme="1"/>
      <name val="Aptos"/>
      <family val="2"/>
    </font>
    <font>
      <b/>
      <sz val="16"/>
      <name val="Aptos"/>
      <family val="2"/>
    </font>
    <font>
      <sz val="16"/>
      <color theme="1"/>
      <name val="Aptos"/>
      <family val="2"/>
    </font>
    <font>
      <b/>
      <sz val="14"/>
      <color theme="1"/>
      <name val="Aptos"/>
      <family val="2"/>
    </font>
    <font>
      <b/>
      <sz val="16"/>
      <color rgb="FFFFFFFF"/>
      <name val="Aptos"/>
      <family val="2"/>
    </font>
    <font>
      <b/>
      <sz val="11"/>
      <color rgb="FFFFFFFF"/>
      <name val="Aptos"/>
      <family val="2"/>
    </font>
    <font>
      <b/>
      <sz val="11"/>
      <name val="Aptos"/>
      <family val="2"/>
    </font>
    <font>
      <b/>
      <sz val="11"/>
      <color theme="1"/>
      <name val="Aptos"/>
      <family val="2"/>
    </font>
    <font>
      <i/>
      <sz val="11"/>
      <color rgb="FF666666"/>
      <name val="Aptos"/>
      <family val="2"/>
    </font>
    <font>
      <b/>
      <sz val="12"/>
      <color theme="0" tint="-0.34998626667073579"/>
      <name val="Aptos"/>
      <family val="2"/>
    </font>
    <font>
      <b/>
      <sz val="11"/>
      <color rgb="FFFF0000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theme="0"/>
        <bgColor rgb="FF1F4E7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left"/>
    </xf>
    <xf numFmtId="0" fontId="5" fillId="0" borderId="0" xfId="0" applyFont="1"/>
    <xf numFmtId="0" fontId="4" fillId="3" borderId="0" xfId="0" applyFont="1" applyFill="1"/>
    <xf numFmtId="0" fontId="6" fillId="10" borderId="2" xfId="0" applyFont="1" applyFill="1" applyBorder="1" applyAlignment="1">
      <alignment horizontal="left" vertical="center" wrapText="1"/>
    </xf>
    <xf numFmtId="0" fontId="6" fillId="10" borderId="0" xfId="0" applyFont="1" applyFill="1" applyBorder="1" applyAlignment="1">
      <alignment vertical="top" wrapText="1"/>
    </xf>
    <xf numFmtId="0" fontId="6" fillId="10" borderId="0" xfId="0" applyFont="1" applyFill="1" applyBorder="1"/>
    <xf numFmtId="0" fontId="6" fillId="10" borderId="0" xfId="0" applyFont="1" applyFill="1" applyBorder="1" applyAlignment="1">
      <alignment horizontal="left" vertical="center" wrapText="1"/>
    </xf>
    <xf numFmtId="0" fontId="7" fillId="5" borderId="0" xfId="0" applyFont="1" applyFill="1" applyAlignment="1">
      <alignment horizontal="center"/>
    </xf>
    <xf numFmtId="0" fontId="8" fillId="0" borderId="0" xfId="0" applyFont="1"/>
    <xf numFmtId="0" fontId="9" fillId="10" borderId="0" xfId="0" applyFont="1" applyFill="1" applyBorder="1" applyAlignment="1">
      <alignment vertical="center" wrapText="1"/>
    </xf>
    <xf numFmtId="0" fontId="9" fillId="10" borderId="0" xfId="0" applyFont="1" applyFill="1" applyBorder="1"/>
    <xf numFmtId="0" fontId="10" fillId="2" borderId="0" xfId="0" applyFont="1" applyFill="1" applyAlignment="1">
      <alignment horizontal="center" vertical="center"/>
    </xf>
    <xf numFmtId="0" fontId="3" fillId="0" borderId="0" xfId="0" applyFont="1"/>
    <xf numFmtId="0" fontId="11" fillId="3" borderId="1" xfId="0" applyFont="1" applyFill="1" applyBorder="1"/>
    <xf numFmtId="0" fontId="12" fillId="0" borderId="1" xfId="0" applyFont="1" applyBorder="1"/>
    <xf numFmtId="0" fontId="11" fillId="3" borderId="0" xfId="0" applyFont="1" applyFill="1"/>
    <xf numFmtId="0" fontId="13" fillId="6" borderId="1" xfId="0" applyFont="1" applyFill="1" applyBorder="1" applyAlignment="1">
      <alignment horizontal="center"/>
    </xf>
    <xf numFmtId="164" fontId="12" fillId="7" borderId="1" xfId="0" applyNumberFormat="1" applyFont="1" applyFill="1" applyBorder="1" applyAlignment="1">
      <alignment horizontal="center"/>
    </xf>
    <xf numFmtId="0" fontId="3" fillId="4" borderId="1" xfId="0" applyFont="1" applyFill="1" applyBorder="1"/>
    <xf numFmtId="0" fontId="3" fillId="0" borderId="3" xfId="0" applyFont="1" applyBorder="1"/>
    <xf numFmtId="0" fontId="3" fillId="0" borderId="4" xfId="0" applyFont="1" applyBorder="1"/>
    <xf numFmtId="0" fontId="13" fillId="4" borderId="1" xfId="0" applyFont="1" applyFill="1" applyBorder="1" applyAlignment="1">
      <alignment horizontal="center"/>
    </xf>
    <xf numFmtId="3" fontId="12" fillId="7" borderId="1" xfId="0" applyNumberFormat="1" applyFont="1" applyFill="1" applyBorder="1" applyAlignment="1">
      <alignment horizontal="center"/>
    </xf>
    <xf numFmtId="164" fontId="13" fillId="6" borderId="1" xfId="0" applyNumberFormat="1" applyFont="1" applyFill="1" applyBorder="1" applyAlignment="1">
      <alignment horizontal="center"/>
    </xf>
    <xf numFmtId="10" fontId="12" fillId="7" borderId="1" xfId="0" applyNumberFormat="1" applyFont="1" applyFill="1" applyBorder="1" applyAlignment="1">
      <alignment horizontal="center"/>
    </xf>
    <xf numFmtId="1" fontId="13" fillId="6" borderId="1" xfId="0" applyNumberFormat="1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10" fontId="13" fillId="6" borderId="1" xfId="0" applyNumberFormat="1" applyFont="1" applyFill="1" applyBorder="1" applyAlignment="1">
      <alignment horizontal="center"/>
    </xf>
    <xf numFmtId="10" fontId="13" fillId="4" borderId="1" xfId="0" applyNumberFormat="1" applyFont="1" applyFill="1" applyBorder="1" applyAlignment="1">
      <alignment horizontal="center"/>
    </xf>
    <xf numFmtId="164" fontId="13" fillId="4" borderId="1" xfId="0" applyNumberFormat="1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0" fontId="13" fillId="9" borderId="1" xfId="0" applyFont="1" applyFill="1" applyBorder="1" applyAlignment="1">
      <alignment horizontal="center"/>
    </xf>
    <xf numFmtId="0" fontId="16" fillId="6" borderId="1" xfId="0" applyFont="1" applyFill="1" applyBorder="1" applyAlignment="1">
      <alignment horizontal="center"/>
    </xf>
    <xf numFmtId="0" fontId="15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1F4E78"/>
      <rgbColor rgb="FFBFBFBF"/>
      <rgbColor rgb="FF4F81BD"/>
      <rgbColor rgb="FF9999FF"/>
      <rgbColor rgb="FFC0504D"/>
      <rgbColor rgb="FFFFF2CC"/>
      <rgbColor rgb="FFDCE6F2"/>
      <rgbColor rgb="FF660066"/>
      <rgbColor rgb="FFD99694"/>
      <rgbColor rgb="FF1F4E7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7FBFF"/>
      <rgbColor rgb="FF93CDDD"/>
      <rgbColor rgb="FFFF99CC"/>
      <rgbColor rgb="FFCC99FF"/>
      <rgbColor rgb="FFFCE4D6"/>
      <rgbColor rgb="FF2F75B5"/>
      <rgbColor rgb="FF33CCCC"/>
      <rgbColor rgb="FF9BBB59"/>
      <rgbColor rgb="FFFFCC00"/>
      <rgbColor rgb="FFFF9900"/>
      <rgbColor rgb="FFFF6600"/>
      <rgbColor rgb="FF8064A2"/>
      <rgbColor rgb="FFB7B7B7"/>
      <rgbColor rgb="FF17365D"/>
      <rgbColor rgb="FF339966"/>
      <rgbColor rgb="FF003300"/>
      <rgbColor rgb="FF333300"/>
      <rgbColor rgb="FF993300"/>
      <rgbColor rgb="FF595959"/>
      <rgbColor rgb="FF1F497D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Evolução do Investimento e Patrimônio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5367613241893155"/>
          <c:y val="0.1278034805241651"/>
          <c:w val="0.819660858521717"/>
          <c:h val="0.79304350478386409"/>
        </c:manualLayout>
      </c:layout>
      <c:lineChart>
        <c:grouping val="standard"/>
        <c:varyColors val="1"/>
        <c:ser>
          <c:idx val="2"/>
          <c:order val="0"/>
          <c:tx>
            <c:strRef>
              <c:f>Simulação!$G$53</c:f>
              <c:strCache>
                <c:ptCount val="1"/>
                <c:pt idx="0">
                  <c:v>Patrimônio Total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59"/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1B44-4836-97B4-B3F6E97C28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Simulação!$H$54:$H$113</c:f>
              <c:strCache>
                <c:ptCount val="60"/>
                <c:pt idx="0">
                  <c:v>Mês 1</c:v>
                </c:pt>
                <c:pt idx="11">
                  <c:v>Mês 12</c:v>
                </c:pt>
                <c:pt idx="23">
                  <c:v>Mês 24</c:v>
                </c:pt>
                <c:pt idx="35">
                  <c:v>Mês 36</c:v>
                </c:pt>
                <c:pt idx="47">
                  <c:v>Mês 48</c:v>
                </c:pt>
                <c:pt idx="59">
                  <c:v>Mês 60</c:v>
                </c:pt>
              </c:strCache>
            </c:strRef>
          </c:cat>
          <c:val>
            <c:numRef>
              <c:f>Simulação!$G$54:$G$113</c:f>
              <c:numCache>
                <c:formatCode>\R\$\ #,##0.00</c:formatCode>
                <c:ptCount val="60"/>
                <c:pt idx="0">
                  <c:v>2022.0020397307946</c:v>
                </c:pt>
                <c:pt idx="1">
                  <c:v>3055.2471442031442</c:v>
                </c:pt>
                <c:pt idx="2">
                  <c:v>4099.8589985956187</c:v>
                </c:pt>
                <c:pt idx="3">
                  <c:v>5155.9626487498945</c:v>
                </c:pt>
                <c:pt idx="4">
                  <c:v>6223.6845161394358</c:v>
                </c:pt>
                <c:pt idx="5">
                  <c:v>7303.1524130028492</c:v>
                </c:pt>
                <c:pt idx="6">
                  <c:v>8394.4955576437151</c:v>
                </c:pt>
                <c:pt idx="7">
                  <c:v>9497.8445898987411</c:v>
                </c:pt>
                <c:pt idx="8">
                  <c:v>10613.331586776072</c:v>
                </c:pt>
                <c:pt idx="9">
                  <c:v>11741.090078265643</c:v>
                </c:pt>
                <c:pt idx="10">
                  <c:v>12881.25506332346</c:v>
                </c:pt>
                <c:pt idx="11">
                  <c:v>14033.96302603173</c:v>
                </c:pt>
                <c:pt idx="12">
                  <c:v>15244.846997830697</c:v>
                </c:pt>
                <c:pt idx="13">
                  <c:v>16469.051928258115</c:v>
                </c:pt>
                <c:pt idx="14">
                  <c:v>17706.724361444485</c:v>
                </c:pt>
                <c:pt idx="15">
                  <c:v>18958.012453655192</c:v>
                </c:pt>
                <c:pt idx="16">
                  <c:v>20223.065991025644</c:v>
                </c:pt>
                <c:pt idx="17">
                  <c:v>21502.036407491498</c:v>
                </c:pt>
                <c:pt idx="18">
                  <c:v>22795.076802916148</c:v>
                </c:pt>
                <c:pt idx="19">
                  <c:v>24102.341961417627</c:v>
                </c:pt>
                <c:pt idx="20">
                  <c:v>25423.988369897124</c:v>
                </c:pt>
                <c:pt idx="21">
                  <c:v>26760.174236771334</c:v>
                </c:pt>
                <c:pt idx="22">
                  <c:v>28111.059510910891</c:v>
                </c:pt>
                <c:pt idx="23">
                  <c:v>29476.805900787131</c:v>
                </c:pt>
                <c:pt idx="24">
                  <c:v>30905.119216788666</c:v>
                </c:pt>
                <c:pt idx="25">
                  <c:v>32349.145435953542</c:v>
                </c:pt>
                <c:pt idx="26">
                  <c:v>33809.057416241609</c:v>
                </c:pt>
                <c:pt idx="27">
                  <c:v>35285.029917226551</c:v>
                </c:pt>
                <c:pt idx="28">
                  <c:v>36777.239621015615</c:v>
                </c:pt>
                <c:pt idx="29">
                  <c:v>38285.865153399398</c:v>
                </c:pt>
                <c:pt idx="30">
                  <c:v>39811.087105234379</c:v>
                </c:pt>
                <c:pt idx="31">
                  <c:v>41353.088054060638</c:v>
                </c:pt>
                <c:pt idx="32">
                  <c:v>42912.052585957397</c:v>
                </c:pt>
                <c:pt idx="33">
                  <c:v>44488.167317639003</c:v>
                </c:pt>
                <c:pt idx="34">
                  <c:v>46081.620918793982</c:v>
                </c:pt>
                <c:pt idx="35">
                  <c:v>47692.604134669855</c:v>
                </c:pt>
                <c:pt idx="36">
                  <c:v>49370.991536398731</c:v>
                </c:pt>
                <c:pt idx="37">
                  <c:v>51067.84291127586</c:v>
                </c:pt>
                <c:pt idx="38">
                  <c:v>52783.361381836643</c:v>
                </c:pt>
                <c:pt idx="39">
                  <c:v>54517.752305171525</c:v>
                </c:pt>
                <c:pt idx="40">
                  <c:v>56271.223297508375</c:v>
                </c:pt>
                <c:pt idx="41">
                  <c:v>58043.984259065321</c:v>
                </c:pt>
                <c:pt idx="42">
                  <c:v>59836.247399176951</c:v>
                </c:pt>
                <c:pt idx="43">
                  <c:v>61648.227261696979</c:v>
                </c:pt>
                <c:pt idx="44">
                  <c:v>63480.140750680279</c:v>
                </c:pt>
                <c:pt idx="45">
                  <c:v>65332.207156347584</c:v>
                </c:pt>
                <c:pt idx="46">
                  <c:v>67204.648181335666</c:v>
                </c:pt>
                <c:pt idx="47">
                  <c:v>69097.68796723643</c:v>
                </c:pt>
                <c:pt idx="48">
                  <c:v>71063.470526657358</c:v>
                </c:pt>
                <c:pt idx="49">
                  <c:v>73050.878699065535</c:v>
                </c:pt>
                <c:pt idx="50">
                  <c:v>75060.150388259019</c:v>
                </c:pt>
                <c:pt idx="51">
                  <c:v>77091.526115220302</c:v>
                </c:pt>
                <c:pt idx="52">
                  <c:v>79145.249046907978</c:v>
                </c:pt>
                <c:pt idx="53">
                  <c:v>81221.565025365169</c:v>
                </c:pt>
                <c:pt idx="54">
                  <c:v>83320.722597148211</c:v>
                </c:pt>
                <c:pt idx="55">
                  <c:v>85442.973043079037</c:v>
                </c:pt>
                <c:pt idx="56">
                  <c:v>87588.5704083249</c:v>
                </c:pt>
                <c:pt idx="57">
                  <c:v>89757.771532808969</c:v>
                </c:pt>
                <c:pt idx="58">
                  <c:v>91950.836081955524</c:v>
                </c:pt>
                <c:pt idx="59">
                  <c:v>94168.026577773344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44-4836-97B4-B3F6E97C2899}"/>
            </c:ext>
          </c:extLst>
        </c:ser>
        <c:ser>
          <c:idx val="3"/>
          <c:order val="1"/>
          <c:tx>
            <c:strRef>
              <c:f>Simulação!$I$53</c:f>
              <c:strCache>
                <c:ptCount val="1"/>
                <c:pt idx="0">
                  <c:v>Investimento Acumulado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59"/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1B44-4836-97B4-B3F6E97C28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Simulação!$H$54:$H$113</c:f>
              <c:strCache>
                <c:ptCount val="60"/>
                <c:pt idx="0">
                  <c:v>Mês 1</c:v>
                </c:pt>
                <c:pt idx="11">
                  <c:v>Mês 12</c:v>
                </c:pt>
                <c:pt idx="23">
                  <c:v>Mês 24</c:v>
                </c:pt>
                <c:pt idx="35">
                  <c:v>Mês 36</c:v>
                </c:pt>
                <c:pt idx="47">
                  <c:v>Mês 48</c:v>
                </c:pt>
                <c:pt idx="59">
                  <c:v>Mês 60</c:v>
                </c:pt>
              </c:strCache>
            </c:strRef>
          </c:cat>
          <c:val>
            <c:numRef>
              <c:f>Simulação!$I$54:$I$113</c:f>
              <c:numCache>
                <c:formatCode>\R\$\ #,##0.00</c:formatCode>
                <c:ptCount val="60"/>
                <c:pt idx="0">
                  <c:v>2000</c:v>
                </c:pt>
                <c:pt idx="1">
                  <c:v>3000</c:v>
                </c:pt>
                <c:pt idx="2">
                  <c:v>4000</c:v>
                </c:pt>
                <c:pt idx="3">
                  <c:v>5000</c:v>
                </c:pt>
                <c:pt idx="4">
                  <c:v>6000</c:v>
                </c:pt>
                <c:pt idx="5">
                  <c:v>7000</c:v>
                </c:pt>
                <c:pt idx="6">
                  <c:v>8000</c:v>
                </c:pt>
                <c:pt idx="7">
                  <c:v>9000</c:v>
                </c:pt>
                <c:pt idx="8">
                  <c:v>10000</c:v>
                </c:pt>
                <c:pt idx="9">
                  <c:v>11000</c:v>
                </c:pt>
                <c:pt idx="10">
                  <c:v>12000</c:v>
                </c:pt>
                <c:pt idx="11">
                  <c:v>13000</c:v>
                </c:pt>
                <c:pt idx="12">
                  <c:v>14045</c:v>
                </c:pt>
                <c:pt idx="13">
                  <c:v>15090</c:v>
                </c:pt>
                <c:pt idx="14">
                  <c:v>16135</c:v>
                </c:pt>
                <c:pt idx="15">
                  <c:v>17180</c:v>
                </c:pt>
                <c:pt idx="16">
                  <c:v>18225</c:v>
                </c:pt>
                <c:pt idx="17">
                  <c:v>19270</c:v>
                </c:pt>
                <c:pt idx="18">
                  <c:v>20315</c:v>
                </c:pt>
                <c:pt idx="19">
                  <c:v>21360</c:v>
                </c:pt>
                <c:pt idx="20">
                  <c:v>22405</c:v>
                </c:pt>
                <c:pt idx="21">
                  <c:v>23450</c:v>
                </c:pt>
                <c:pt idx="22">
                  <c:v>24495</c:v>
                </c:pt>
                <c:pt idx="23">
                  <c:v>25540</c:v>
                </c:pt>
                <c:pt idx="24">
                  <c:v>26632.025000000001</c:v>
                </c:pt>
                <c:pt idx="25">
                  <c:v>27724.050000000003</c:v>
                </c:pt>
                <c:pt idx="26">
                  <c:v>28816.075000000004</c:v>
                </c:pt>
                <c:pt idx="27">
                  <c:v>29908.100000000006</c:v>
                </c:pt>
                <c:pt idx="28">
                  <c:v>31000.125000000007</c:v>
                </c:pt>
                <c:pt idx="29">
                  <c:v>32092.150000000009</c:v>
                </c:pt>
                <c:pt idx="30">
                  <c:v>33184.17500000001</c:v>
                </c:pt>
                <c:pt idx="31">
                  <c:v>34276.200000000012</c:v>
                </c:pt>
                <c:pt idx="32">
                  <c:v>35368.225000000013</c:v>
                </c:pt>
                <c:pt idx="33">
                  <c:v>36460.250000000015</c:v>
                </c:pt>
                <c:pt idx="34">
                  <c:v>37552.275000000016</c:v>
                </c:pt>
                <c:pt idx="35">
                  <c:v>38644.300000000017</c:v>
                </c:pt>
                <c:pt idx="36">
                  <c:v>39785.466125000021</c:v>
                </c:pt>
                <c:pt idx="37">
                  <c:v>40926.632250000024</c:v>
                </c:pt>
                <c:pt idx="38">
                  <c:v>42067.798375000028</c:v>
                </c:pt>
                <c:pt idx="39">
                  <c:v>43208.964500000031</c:v>
                </c:pt>
                <c:pt idx="40">
                  <c:v>44350.130625000034</c:v>
                </c:pt>
                <c:pt idx="41">
                  <c:v>45491.296750000038</c:v>
                </c:pt>
                <c:pt idx="42">
                  <c:v>46632.462875000041</c:v>
                </c:pt>
                <c:pt idx="43">
                  <c:v>47773.629000000044</c:v>
                </c:pt>
                <c:pt idx="44">
                  <c:v>48914.795125000048</c:v>
                </c:pt>
                <c:pt idx="45">
                  <c:v>50055.961250000051</c:v>
                </c:pt>
                <c:pt idx="46">
                  <c:v>51197.127375000055</c:v>
                </c:pt>
                <c:pt idx="47">
                  <c:v>52338.293500000058</c:v>
                </c:pt>
                <c:pt idx="48">
                  <c:v>53530.812100625059</c:v>
                </c:pt>
                <c:pt idx="49">
                  <c:v>54723.330701250059</c:v>
                </c:pt>
                <c:pt idx="50">
                  <c:v>55915.84930187506</c:v>
                </c:pt>
                <c:pt idx="51">
                  <c:v>57108.36790250006</c:v>
                </c:pt>
                <c:pt idx="52">
                  <c:v>58300.886503125061</c:v>
                </c:pt>
                <c:pt idx="53">
                  <c:v>59493.405103750061</c:v>
                </c:pt>
                <c:pt idx="54">
                  <c:v>60685.923704375062</c:v>
                </c:pt>
                <c:pt idx="55">
                  <c:v>61878.442305000062</c:v>
                </c:pt>
                <c:pt idx="56">
                  <c:v>63070.960905625063</c:v>
                </c:pt>
                <c:pt idx="57">
                  <c:v>64263.479506250063</c:v>
                </c:pt>
                <c:pt idx="58">
                  <c:v>65455.998106875064</c:v>
                </c:pt>
                <c:pt idx="59">
                  <c:v>66648.516707500065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44-4836-97B4-B3F6E97C2899}"/>
            </c:ext>
          </c:extLst>
        </c:ser>
        <c:ser>
          <c:idx val="1"/>
          <c:order val="2"/>
          <c:tx>
            <c:strRef>
              <c:f>Simulação!$J$53</c:f>
              <c:strCache>
                <c:ptCount val="1"/>
                <c:pt idx="0">
                  <c:v>Rendimentos Acumulados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59"/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1B44-4836-97B4-B3F6E97C28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Simulação!$H$54:$H$113</c:f>
              <c:strCache>
                <c:ptCount val="60"/>
                <c:pt idx="0">
                  <c:v>Mês 1</c:v>
                </c:pt>
                <c:pt idx="11">
                  <c:v>Mês 12</c:v>
                </c:pt>
                <c:pt idx="23">
                  <c:v>Mês 24</c:v>
                </c:pt>
                <c:pt idx="35">
                  <c:v>Mês 36</c:v>
                </c:pt>
                <c:pt idx="47">
                  <c:v>Mês 48</c:v>
                </c:pt>
                <c:pt idx="59">
                  <c:v>Mês 60</c:v>
                </c:pt>
              </c:strCache>
            </c:strRef>
          </c:cat>
          <c:val>
            <c:numRef>
              <c:f>Simulação!$J$54:$J$113</c:f>
              <c:numCache>
                <c:formatCode>\R\$\ #,##0.00</c:formatCode>
                <c:ptCount val="60"/>
                <c:pt idx="0">
                  <c:v>22.002039730794731</c:v>
                </c:pt>
                <c:pt idx="1">
                  <c:v>55.247144203144558</c:v>
                </c:pt>
                <c:pt idx="2">
                  <c:v>99.858998595619283</c:v>
                </c:pt>
                <c:pt idx="3">
                  <c:v>155.96264874989521</c:v>
                </c:pt>
                <c:pt idx="4">
                  <c:v>223.68451613943699</c:v>
                </c:pt>
                <c:pt idx="5">
                  <c:v>303.15241300285027</c:v>
                </c:pt>
                <c:pt idx="6">
                  <c:v>394.49555764371667</c:v>
                </c:pt>
                <c:pt idx="7">
                  <c:v>497.84458989874247</c:v>
                </c:pt>
                <c:pt idx="8">
                  <c:v>613.33158677607275</c:v>
                </c:pt>
                <c:pt idx="9">
                  <c:v>741.090078265643</c:v>
                </c:pt>
                <c:pt idx="10">
                  <c:v>881.2550633234606</c:v>
                </c:pt>
                <c:pt idx="11">
                  <c:v>1033.9630260317297</c:v>
                </c:pt>
                <c:pt idx="12">
                  <c:v>1199.8469978306971</c:v>
                </c:pt>
                <c:pt idx="13">
                  <c:v>1379.0519282581163</c:v>
                </c:pt>
                <c:pt idx="14">
                  <c:v>1571.7243614444849</c:v>
                </c:pt>
                <c:pt idx="15">
                  <c:v>1778.0124536551914</c:v>
                </c:pt>
                <c:pt idx="16">
                  <c:v>1998.0659910256431</c:v>
                </c:pt>
                <c:pt idx="17">
                  <c:v>2232.0364074914983</c:v>
                </c:pt>
                <c:pt idx="18">
                  <c:v>2480.07680291615</c:v>
                </c:pt>
                <c:pt idx="19">
                  <c:v>2742.3419614176296</c:v>
                </c:pt>
                <c:pt idx="20">
                  <c:v>3018.9883698971257</c:v>
                </c:pt>
                <c:pt idx="21">
                  <c:v>3310.1742367713359</c:v>
                </c:pt>
                <c:pt idx="22">
                  <c:v>3616.0595109108926</c:v>
                </c:pt>
                <c:pt idx="23">
                  <c:v>3936.8059007871311</c:v>
                </c:pt>
                <c:pt idx="24">
                  <c:v>4273.0942167886633</c:v>
                </c:pt>
                <c:pt idx="25">
                  <c:v>4625.0954359535399</c:v>
                </c:pt>
                <c:pt idx="26">
                  <c:v>4992.9824162416044</c:v>
                </c:pt>
                <c:pt idx="27">
                  <c:v>5376.9299172265492</c:v>
                </c:pt>
                <c:pt idx="28">
                  <c:v>5777.1146210156094</c:v>
                </c:pt>
                <c:pt idx="29">
                  <c:v>6193.715153399392</c:v>
                </c:pt>
                <c:pt idx="30">
                  <c:v>6626.9121052343744</c:v>
                </c:pt>
                <c:pt idx="31">
                  <c:v>7076.8880540606333</c:v>
                </c:pt>
                <c:pt idx="32">
                  <c:v>7543.8275859573914</c:v>
                </c:pt>
                <c:pt idx="33">
                  <c:v>8027.9173176389959</c:v>
                </c:pt>
                <c:pt idx="34">
                  <c:v>8529.3459187939752</c:v>
                </c:pt>
                <c:pt idx="35">
                  <c:v>9048.3041346698483</c:v>
                </c:pt>
                <c:pt idx="36">
                  <c:v>9585.5254113987266</c:v>
                </c:pt>
                <c:pt idx="37">
                  <c:v>10141.210661275858</c:v>
                </c:pt>
                <c:pt idx="38">
                  <c:v>10715.563006836639</c:v>
                </c:pt>
                <c:pt idx="39">
                  <c:v>11308.787805171516</c:v>
                </c:pt>
                <c:pt idx="40">
                  <c:v>11921.092672508365</c:v>
                </c:pt>
                <c:pt idx="41">
                  <c:v>12552.687509065308</c:v>
                </c:pt>
                <c:pt idx="42">
                  <c:v>13203.784524176941</c:v>
                </c:pt>
                <c:pt idx="43">
                  <c:v>13874.598261696961</c:v>
                </c:pt>
                <c:pt idx="44">
                  <c:v>14565.345625680266</c:v>
                </c:pt>
                <c:pt idx="45">
                  <c:v>15276.245906347564</c:v>
                </c:pt>
                <c:pt idx="46">
                  <c:v>16007.520806335642</c:v>
                </c:pt>
                <c:pt idx="47">
                  <c:v>16759.394467236401</c:v>
                </c:pt>
                <c:pt idx="48">
                  <c:v>17532.658426032329</c:v>
                </c:pt>
                <c:pt idx="49">
                  <c:v>18327.547997815498</c:v>
                </c:pt>
                <c:pt idx="50">
                  <c:v>19144.301086383985</c:v>
                </c:pt>
                <c:pt idx="51">
                  <c:v>19983.158212720267</c:v>
                </c:pt>
                <c:pt idx="52">
                  <c:v>20844.362543782936</c:v>
                </c:pt>
                <c:pt idx="53">
                  <c:v>21728.159921615123</c:v>
                </c:pt>
                <c:pt idx="54">
                  <c:v>22634.79889277316</c:v>
                </c:pt>
                <c:pt idx="55">
                  <c:v>23564.530738078982</c:v>
                </c:pt>
                <c:pt idx="56">
                  <c:v>24517.609502699837</c:v>
                </c:pt>
                <c:pt idx="57">
                  <c:v>25494.292026558905</c:v>
                </c:pt>
                <c:pt idx="58">
                  <c:v>26494.837975080467</c:v>
                </c:pt>
                <c:pt idx="59">
                  <c:v>27519.509870273287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1B44-4836-97B4-B3F6E97C2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Valor (R$)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\R\$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  <c:majorUnit val="20000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342899</xdr:colOff>
      <xdr:row>23</xdr:row>
      <xdr:rowOff>85725</xdr:rowOff>
    </xdr:from>
    <xdr:ext cx="7391401" cy="45243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6"/>
  <sheetViews>
    <sheetView showGridLines="0" workbookViewId="0">
      <pane ySplit="5" topLeftCell="A6" activePane="bottomLeft" state="frozen"/>
      <selection pane="bottomLeft" activeCell="G26" sqref="G26"/>
    </sheetView>
  </sheetViews>
  <sheetFormatPr defaultRowHeight="15" x14ac:dyDescent="0.25"/>
  <cols>
    <col min="1" max="1" width="3" style="1" customWidth="1"/>
    <col min="2" max="7" width="23" style="1" customWidth="1"/>
    <col min="8" max="8" width="4" style="1" customWidth="1"/>
    <col min="9" max="14" width="20" style="1" customWidth="1"/>
  </cols>
  <sheetData>
    <row r="2" spans="2:14" ht="42" customHeight="1" x14ac:dyDescent="0.25"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x14ac:dyDescent="0.2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2:14" x14ac:dyDescent="0.25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x14ac:dyDescent="0.25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2:14" ht="26.25" x14ac:dyDescent="0.4">
      <c r="B6" s="6" t="s">
        <v>1</v>
      </c>
      <c r="C6" s="7"/>
      <c r="D6" s="7"/>
      <c r="E6" s="7"/>
      <c r="F6" s="7"/>
      <c r="G6" s="7"/>
      <c r="H6" s="5"/>
      <c r="I6" s="8" t="s">
        <v>2</v>
      </c>
      <c r="J6" s="7"/>
      <c r="K6" s="7"/>
      <c r="L6" s="7"/>
      <c r="M6" s="7"/>
      <c r="N6" s="7"/>
    </row>
    <row r="7" spans="2:14" ht="15" customHeight="1" x14ac:dyDescent="0.25">
      <c r="B7" s="9" t="s">
        <v>3</v>
      </c>
      <c r="C7" s="9"/>
      <c r="D7" s="9"/>
      <c r="E7" s="9"/>
      <c r="F7" s="9"/>
      <c r="G7" s="9"/>
      <c r="H7" s="5"/>
      <c r="I7" s="10" t="s">
        <v>4</v>
      </c>
      <c r="J7" s="11"/>
      <c r="K7" s="11"/>
      <c r="L7" s="11"/>
      <c r="M7" s="11"/>
      <c r="N7" s="11"/>
    </row>
    <row r="8" spans="2:14" x14ac:dyDescent="0.25">
      <c r="B8" s="12"/>
      <c r="C8" s="12"/>
      <c r="D8" s="12"/>
      <c r="E8" s="12"/>
      <c r="F8" s="12"/>
      <c r="G8" s="12"/>
      <c r="H8" s="5"/>
      <c r="I8" s="11"/>
      <c r="J8" s="11"/>
      <c r="K8" s="11"/>
      <c r="L8" s="11"/>
      <c r="M8" s="11"/>
      <c r="N8" s="11"/>
    </row>
    <row r="9" spans="2:14" x14ac:dyDescent="0.25">
      <c r="B9" s="12"/>
      <c r="C9" s="12"/>
      <c r="D9" s="12"/>
      <c r="E9" s="12"/>
      <c r="F9" s="12"/>
      <c r="G9" s="12"/>
      <c r="H9" s="5"/>
      <c r="I9" s="11"/>
      <c r="J9" s="11"/>
      <c r="K9" s="11"/>
      <c r="L9" s="11"/>
      <c r="M9" s="11"/>
      <c r="N9" s="11"/>
    </row>
    <row r="10" spans="2:14" x14ac:dyDescent="0.25">
      <c r="B10" s="12"/>
      <c r="C10" s="12"/>
      <c r="D10" s="12"/>
      <c r="E10" s="12"/>
      <c r="F10" s="12"/>
      <c r="G10" s="12"/>
      <c r="H10" s="5"/>
      <c r="I10" s="11"/>
      <c r="J10" s="11"/>
      <c r="K10" s="11"/>
      <c r="L10" s="11"/>
      <c r="M10" s="11"/>
      <c r="N10" s="11"/>
    </row>
    <row r="11" spans="2:14" x14ac:dyDescent="0.25">
      <c r="B11" s="12"/>
      <c r="C11" s="12"/>
      <c r="D11" s="12"/>
      <c r="E11" s="12"/>
      <c r="F11" s="12"/>
      <c r="G11" s="12"/>
      <c r="H11" s="5"/>
      <c r="I11" s="11"/>
      <c r="J11" s="11"/>
      <c r="K11" s="11"/>
      <c r="L11" s="11"/>
      <c r="M11" s="11"/>
      <c r="N11" s="11"/>
    </row>
    <row r="12" spans="2:14" x14ac:dyDescent="0.25">
      <c r="B12" s="12"/>
      <c r="C12" s="12"/>
      <c r="D12" s="12"/>
      <c r="E12" s="12"/>
      <c r="F12" s="12"/>
      <c r="G12" s="12"/>
      <c r="H12" s="5"/>
      <c r="I12" s="11"/>
      <c r="J12" s="11"/>
      <c r="K12" s="11"/>
      <c r="L12" s="11"/>
      <c r="M12" s="11"/>
      <c r="N12" s="11"/>
    </row>
    <row r="13" spans="2:14" x14ac:dyDescent="0.25">
      <c r="B13" s="12"/>
      <c r="C13" s="12"/>
      <c r="D13" s="12"/>
      <c r="E13" s="12"/>
      <c r="F13" s="12"/>
      <c r="G13" s="12"/>
      <c r="H13" s="5"/>
      <c r="I13" s="11"/>
      <c r="J13" s="11"/>
      <c r="K13" s="11"/>
      <c r="L13" s="11"/>
      <c r="M13" s="11"/>
      <c r="N13" s="11"/>
    </row>
    <row r="14" spans="2:14" ht="21" x14ac:dyDescent="0.35">
      <c r="B14" s="13" t="s">
        <v>121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2:14" x14ac:dyDescent="0.25">
      <c r="B15" s="15" t="s">
        <v>5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</row>
    <row r="16" spans="2:14" ht="22.5" customHeight="1" x14ac:dyDescent="0.25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</row>
  </sheetData>
  <mergeCells count="7">
    <mergeCell ref="B15:N16"/>
    <mergeCell ref="B6:G6"/>
    <mergeCell ref="B2:N4"/>
    <mergeCell ref="I7:N13"/>
    <mergeCell ref="B14:N14"/>
    <mergeCell ref="I6:N6"/>
    <mergeCell ref="B7:G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O114"/>
  <sheetViews>
    <sheetView showGridLines="0" tabSelected="1" topLeftCell="B12" workbookViewId="0">
      <selection activeCell="Q20" sqref="Q20"/>
    </sheetView>
  </sheetViews>
  <sheetFormatPr defaultRowHeight="15" x14ac:dyDescent="0.25"/>
  <cols>
    <col min="1" max="1" width="3" style="1" customWidth="1"/>
    <col min="2" max="2" width="25" style="1" customWidth="1"/>
    <col min="3" max="3" width="22" style="1" customWidth="1"/>
    <col min="4" max="4" width="16" style="1" customWidth="1"/>
    <col min="5" max="5" width="17.28515625" style="1" customWidth="1"/>
    <col min="6" max="6" width="26.7109375" style="1" customWidth="1"/>
    <col min="7" max="7" width="18" style="1" customWidth="1"/>
    <col min="8" max="8" width="20.28515625" style="1" customWidth="1"/>
    <col min="9" max="9" width="28.5703125" style="1" customWidth="1"/>
    <col min="10" max="10" width="19.28515625" style="1" customWidth="1"/>
    <col min="11" max="11" width="4.7109375" style="1" customWidth="1"/>
    <col min="12" max="14" width="18" style="1" customWidth="1"/>
  </cols>
  <sheetData>
    <row r="2" spans="2:15" ht="24" customHeight="1" x14ac:dyDescent="0.25">
      <c r="B2" s="17" t="s">
        <v>6</v>
      </c>
      <c r="C2" s="18"/>
      <c r="D2" s="18"/>
      <c r="E2" s="18"/>
      <c r="F2" s="18"/>
      <c r="G2" s="18"/>
      <c r="H2" s="5"/>
      <c r="I2" s="17" t="s">
        <v>7</v>
      </c>
      <c r="J2" s="18"/>
      <c r="K2" s="18"/>
      <c r="L2" s="18"/>
      <c r="M2" s="18"/>
      <c r="N2" s="18"/>
      <c r="O2" s="5"/>
    </row>
    <row r="3" spans="2:15" x14ac:dyDescent="0.25">
      <c r="B3" s="18"/>
      <c r="C3" s="18"/>
      <c r="D3" s="18"/>
      <c r="E3" s="18"/>
      <c r="F3" s="18"/>
      <c r="G3" s="18"/>
      <c r="H3" s="5"/>
      <c r="I3" s="18"/>
      <c r="J3" s="18"/>
      <c r="K3" s="18"/>
      <c r="L3" s="18"/>
      <c r="M3" s="18"/>
      <c r="N3" s="18"/>
      <c r="O3" s="5"/>
    </row>
    <row r="4" spans="2:15" x14ac:dyDescent="0.25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2:15" x14ac:dyDescent="0.25">
      <c r="B5" s="37" t="s">
        <v>8</v>
      </c>
      <c r="C5" s="37" t="s">
        <v>9</v>
      </c>
      <c r="D5" s="37" t="s">
        <v>10</v>
      </c>
      <c r="E5" s="5"/>
      <c r="F5" s="19" t="s">
        <v>11</v>
      </c>
      <c r="G5" s="19" t="s">
        <v>12</v>
      </c>
      <c r="H5" s="5"/>
      <c r="I5" s="20" t="s">
        <v>13</v>
      </c>
      <c r="J5" s="33">
        <v>4.4999999999999998E-2</v>
      </c>
      <c r="K5" s="5"/>
      <c r="L5" s="21" t="s">
        <v>14</v>
      </c>
      <c r="M5" s="18"/>
      <c r="N5" s="18"/>
      <c r="O5" s="5"/>
    </row>
    <row r="6" spans="2:15" x14ac:dyDescent="0.25">
      <c r="B6" s="20" t="s">
        <v>15</v>
      </c>
      <c r="C6" s="22" t="s">
        <v>94</v>
      </c>
      <c r="D6" s="5"/>
      <c r="E6" s="5"/>
      <c r="F6" s="20" t="s">
        <v>17</v>
      </c>
      <c r="G6" s="23">
        <f>SUM($C$54:$C$113)+SUM($D$54:$D$113)</f>
        <v>66648.516707500065</v>
      </c>
      <c r="H6" s="5"/>
      <c r="I6" s="20" t="s">
        <v>18</v>
      </c>
      <c r="J6" s="33">
        <v>0.14249999999999999</v>
      </c>
      <c r="K6" s="5"/>
      <c r="L6" s="24" t="s">
        <v>19</v>
      </c>
      <c r="M6" s="25"/>
      <c r="N6" s="26"/>
      <c r="O6" s="5"/>
    </row>
    <row r="7" spans="2:15" x14ac:dyDescent="0.25">
      <c r="B7" s="20" t="s">
        <v>20</v>
      </c>
      <c r="C7" s="27" t="str">
        <f>IFERROR(INDEX($C$25:$C$52,MATCH(C6,$B$25:$B$52,0)),"")</f>
        <v>FII</v>
      </c>
      <c r="D7" s="5"/>
      <c r="E7" s="5"/>
      <c r="F7" s="20" t="s">
        <v>21</v>
      </c>
      <c r="G7" s="28">
        <f>IFERROR(ROUNDDOWN(G6/C19,0),0)</f>
        <v>647</v>
      </c>
      <c r="H7" s="5"/>
      <c r="I7" s="20" t="s">
        <v>22</v>
      </c>
      <c r="J7" s="33">
        <v>8.7300000000000003E-2</v>
      </c>
      <c r="K7" s="5"/>
      <c r="L7" s="24" t="s">
        <v>23</v>
      </c>
      <c r="M7" s="25"/>
      <c r="N7" s="26"/>
      <c r="O7" s="5"/>
    </row>
    <row r="8" spans="2:15" x14ac:dyDescent="0.25">
      <c r="B8" s="20" t="s">
        <v>24</v>
      </c>
      <c r="C8" s="27" t="str">
        <f>IFERROR(INDEX($D$25:$D$52,MATCH(C6,$B$25:$B$52,0)),"")</f>
        <v>Shopping</v>
      </c>
      <c r="D8" s="5"/>
      <c r="E8" s="5"/>
      <c r="F8" s="20" t="s">
        <v>25</v>
      </c>
      <c r="G8" s="23">
        <f>SUM($F$54:$F$113)</f>
        <v>27519.509870273287</v>
      </c>
      <c r="H8" s="5"/>
      <c r="I8" s="20" t="s">
        <v>26</v>
      </c>
      <c r="J8" s="33">
        <v>0.1135</v>
      </c>
      <c r="K8" s="5"/>
      <c r="L8" s="24" t="s">
        <v>27</v>
      </c>
      <c r="M8" s="25"/>
      <c r="N8" s="26"/>
      <c r="O8" s="5"/>
    </row>
    <row r="9" spans="2:15" x14ac:dyDescent="0.25">
      <c r="B9" s="20" t="s">
        <v>28</v>
      </c>
      <c r="C9" s="27" t="str">
        <f>IFERROR(INDEX($E$25:$E$52,MATCH(C6,$B$25:$B$52,0)),"")</f>
        <v>FII</v>
      </c>
      <c r="D9" s="5"/>
      <c r="E9" s="5"/>
      <c r="F9" s="20" t="s">
        <v>29</v>
      </c>
      <c r="G9" s="23">
        <f>G113</f>
        <v>94168.026577773344</v>
      </c>
      <c r="H9" s="5"/>
      <c r="I9" s="20" t="s">
        <v>30</v>
      </c>
      <c r="J9" s="33">
        <v>0.14030000000000001</v>
      </c>
      <c r="K9" s="5"/>
      <c r="L9" s="24" t="s">
        <v>31</v>
      </c>
      <c r="M9" s="25"/>
      <c r="N9" s="26"/>
      <c r="O9" s="5"/>
    </row>
    <row r="10" spans="2:15" x14ac:dyDescent="0.25">
      <c r="B10" s="20" t="s">
        <v>32</v>
      </c>
      <c r="C10" s="27" t="str">
        <f>IFERROR(INDEX($F$25:$F$52,MATCH(C6,$B$25:$B$52,0)),"")</f>
        <v>Shopping centers</v>
      </c>
      <c r="D10" s="5"/>
      <c r="E10" s="5"/>
      <c r="F10" s="20" t="s">
        <v>123</v>
      </c>
      <c r="G10" s="23">
        <f>G9-G6</f>
        <v>27519.509870273279</v>
      </c>
      <c r="H10" s="5"/>
      <c r="I10" s="20" t="s">
        <v>33</v>
      </c>
      <c r="J10" s="33">
        <v>0</v>
      </c>
      <c r="K10" s="5"/>
      <c r="L10" s="24" t="s">
        <v>34</v>
      </c>
      <c r="M10" s="25"/>
      <c r="N10" s="26"/>
      <c r="O10" s="5"/>
    </row>
    <row r="11" spans="2:15" x14ac:dyDescent="0.25">
      <c r="B11" s="20" t="s">
        <v>35</v>
      </c>
      <c r="C11" s="29">
        <v>1000</v>
      </c>
      <c r="D11" s="5"/>
      <c r="E11" s="5"/>
      <c r="F11" s="20" t="s">
        <v>36</v>
      </c>
      <c r="G11" s="30">
        <f>IF(G6=0,0,G10/G6)</f>
        <v>0.41290506120410725</v>
      </c>
      <c r="H11" s="5"/>
      <c r="I11" s="20" t="s">
        <v>37</v>
      </c>
      <c r="J11" s="33">
        <v>8.0000000000000002E-3</v>
      </c>
      <c r="K11" s="5"/>
      <c r="L11" s="5"/>
      <c r="M11" s="5"/>
      <c r="N11" s="5"/>
      <c r="O11" s="5"/>
    </row>
    <row r="12" spans="2:15" x14ac:dyDescent="0.25">
      <c r="B12" s="20" t="s">
        <v>38</v>
      </c>
      <c r="C12" s="29">
        <v>1000</v>
      </c>
      <c r="D12" s="5"/>
      <c r="E12" s="5"/>
      <c r="F12" s="5"/>
      <c r="G12" s="5"/>
      <c r="H12" s="5"/>
      <c r="I12" s="20" t="s">
        <v>39</v>
      </c>
      <c r="J12" s="46" t="s">
        <v>120</v>
      </c>
      <c r="K12" s="5"/>
      <c r="L12" s="5"/>
      <c r="M12" s="5"/>
      <c r="N12" s="5"/>
      <c r="O12" s="5"/>
    </row>
    <row r="13" spans="2:15" x14ac:dyDescent="0.25">
      <c r="B13" s="20" t="s">
        <v>41</v>
      </c>
      <c r="C13" s="31">
        <v>5</v>
      </c>
      <c r="D13" s="32" t="s">
        <v>42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2:15" x14ac:dyDescent="0.25">
      <c r="B14" s="20" t="s">
        <v>43</v>
      </c>
      <c r="C14" s="33">
        <v>0</v>
      </c>
      <c r="D14" s="32" t="s">
        <v>44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2:15" x14ac:dyDescent="0.25">
      <c r="B15" s="20" t="s">
        <v>45</v>
      </c>
      <c r="C15" s="33">
        <v>0</v>
      </c>
      <c r="D15" s="32" t="s">
        <v>46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2:15" x14ac:dyDescent="0.25">
      <c r="B16" s="20" t="s">
        <v>47</v>
      </c>
      <c r="C16" s="34">
        <f>IF(C18="Conservador",$J$7,IF(C18="Moderado",$J$8,IF(C18="Arrojado",$J$9,0)))</f>
        <v>0.14030000000000001</v>
      </c>
      <c r="D16" s="32" t="s">
        <v>44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2:15" x14ac:dyDescent="0.25">
      <c r="B17" s="20" t="s">
        <v>48</v>
      </c>
      <c r="C17" s="22" t="s">
        <v>40</v>
      </c>
      <c r="D17" s="32" t="s">
        <v>49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2:15" x14ac:dyDescent="0.25">
      <c r="B18" s="20" t="s">
        <v>50</v>
      </c>
      <c r="C18" s="22" t="s">
        <v>51</v>
      </c>
      <c r="D18" s="32" t="s">
        <v>50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2:15" x14ac:dyDescent="0.25">
      <c r="B19" s="20" t="s">
        <v>52</v>
      </c>
      <c r="C19" s="35">
        <f>IFERROR(INDEX($H$25:$H$52,MATCH(C6,$B$25:$B$52,0)),0)</f>
        <v>103</v>
      </c>
      <c r="D19" s="32" t="s">
        <v>53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2:15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2:15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2:15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2:15" ht="15.75" x14ac:dyDescent="0.25">
      <c r="B23" s="36" t="s">
        <v>54</v>
      </c>
      <c r="C23" s="18"/>
      <c r="D23" s="18"/>
      <c r="E23" s="18"/>
      <c r="F23" s="18"/>
      <c r="G23" s="18"/>
      <c r="H23" s="18"/>
      <c r="I23" s="47" t="s">
        <v>119</v>
      </c>
      <c r="J23" s="47"/>
      <c r="K23" s="47"/>
      <c r="L23" s="47"/>
      <c r="M23" s="47"/>
      <c r="N23" s="47"/>
      <c r="O23" s="47"/>
    </row>
    <row r="24" spans="2:15" ht="24.75" customHeight="1" x14ac:dyDescent="0.25">
      <c r="B24" s="37" t="s">
        <v>15</v>
      </c>
      <c r="C24" s="37" t="s">
        <v>20</v>
      </c>
      <c r="D24" s="37" t="s">
        <v>24</v>
      </c>
      <c r="E24" s="37" t="s">
        <v>28</v>
      </c>
      <c r="F24" s="37" t="s">
        <v>32</v>
      </c>
      <c r="G24" s="37" t="s">
        <v>55</v>
      </c>
      <c r="H24" s="37" t="s">
        <v>52</v>
      </c>
      <c r="I24" s="5"/>
      <c r="J24" s="5"/>
      <c r="K24" s="5"/>
      <c r="L24" s="5"/>
      <c r="M24" s="5"/>
      <c r="N24" s="5"/>
      <c r="O24" s="5"/>
    </row>
    <row r="25" spans="2:15" x14ac:dyDescent="0.25">
      <c r="B25" s="38" t="s">
        <v>56</v>
      </c>
      <c r="C25" s="38" t="s">
        <v>57</v>
      </c>
      <c r="D25" s="38" t="s">
        <v>58</v>
      </c>
      <c r="E25" s="38" t="s">
        <v>59</v>
      </c>
      <c r="F25" s="38" t="s">
        <v>60</v>
      </c>
      <c r="G25" s="38" t="s">
        <v>40</v>
      </c>
      <c r="H25" s="39">
        <v>1000</v>
      </c>
      <c r="I25" s="5"/>
      <c r="J25" s="5"/>
      <c r="K25" s="5"/>
      <c r="L25" s="5"/>
      <c r="M25" s="5"/>
      <c r="N25" s="5"/>
      <c r="O25" s="5"/>
    </row>
    <row r="26" spans="2:15" x14ac:dyDescent="0.25">
      <c r="B26" s="38" t="s">
        <v>61</v>
      </c>
      <c r="C26" s="38" t="s">
        <v>57</v>
      </c>
      <c r="D26" s="38" t="s">
        <v>62</v>
      </c>
      <c r="E26" s="38" t="s">
        <v>59</v>
      </c>
      <c r="F26" s="38" t="s">
        <v>60</v>
      </c>
      <c r="G26" s="38" t="s">
        <v>40</v>
      </c>
      <c r="H26" s="39">
        <v>1000</v>
      </c>
      <c r="I26" s="5"/>
      <c r="J26" s="5"/>
      <c r="K26" s="5"/>
      <c r="L26" s="5"/>
      <c r="M26" s="5"/>
      <c r="N26" s="5"/>
      <c r="O26" s="5"/>
    </row>
    <row r="27" spans="2:15" x14ac:dyDescent="0.25">
      <c r="B27" s="38" t="s">
        <v>63</v>
      </c>
      <c r="C27" s="38" t="s">
        <v>64</v>
      </c>
      <c r="D27" s="38" t="s">
        <v>58</v>
      </c>
      <c r="E27" s="38" t="s">
        <v>59</v>
      </c>
      <c r="F27" s="38" t="s">
        <v>65</v>
      </c>
      <c r="G27" s="38" t="s">
        <v>40</v>
      </c>
      <c r="H27" s="39">
        <v>1000</v>
      </c>
      <c r="I27" s="5"/>
      <c r="J27" s="5"/>
      <c r="K27" s="5"/>
      <c r="L27" s="5"/>
      <c r="M27" s="5"/>
      <c r="N27" s="5"/>
      <c r="O27" s="5"/>
    </row>
    <row r="28" spans="2:15" x14ac:dyDescent="0.25">
      <c r="B28" s="38" t="s">
        <v>66</v>
      </c>
      <c r="C28" s="38" t="s">
        <v>64</v>
      </c>
      <c r="D28" s="38" t="s">
        <v>62</v>
      </c>
      <c r="E28" s="38" t="s">
        <v>59</v>
      </c>
      <c r="F28" s="38" t="s">
        <v>65</v>
      </c>
      <c r="G28" s="38" t="s">
        <v>40</v>
      </c>
      <c r="H28" s="39">
        <v>1000</v>
      </c>
      <c r="I28" s="5"/>
      <c r="J28" s="5"/>
      <c r="K28" s="5"/>
      <c r="L28" s="5"/>
      <c r="M28" s="5"/>
      <c r="N28" s="5"/>
      <c r="O28" s="5"/>
    </row>
    <row r="29" spans="2:15" x14ac:dyDescent="0.25">
      <c r="B29" s="38" t="s">
        <v>67</v>
      </c>
      <c r="C29" s="38" t="s">
        <v>68</v>
      </c>
      <c r="D29" s="38" t="s">
        <v>58</v>
      </c>
      <c r="E29" s="38" t="s">
        <v>59</v>
      </c>
      <c r="F29" s="38" t="s">
        <v>69</v>
      </c>
      <c r="G29" s="38" t="s">
        <v>40</v>
      </c>
      <c r="H29" s="39">
        <v>1000</v>
      </c>
      <c r="I29" s="5"/>
      <c r="J29" s="5"/>
      <c r="K29" s="5"/>
      <c r="L29" s="5"/>
      <c r="M29" s="5"/>
      <c r="N29" s="5"/>
      <c r="O29" s="5"/>
    </row>
    <row r="30" spans="2:15" ht="14.25" customHeight="1" x14ac:dyDescent="0.25">
      <c r="B30" s="38" t="s">
        <v>70</v>
      </c>
      <c r="C30" s="38" t="s">
        <v>68</v>
      </c>
      <c r="D30" s="38" t="s">
        <v>62</v>
      </c>
      <c r="E30" s="38" t="s">
        <v>59</v>
      </c>
      <c r="F30" s="38" t="s">
        <v>69</v>
      </c>
      <c r="G30" s="38" t="s">
        <v>40</v>
      </c>
      <c r="H30" s="39">
        <v>1000</v>
      </c>
      <c r="I30" s="5"/>
      <c r="J30" s="5"/>
      <c r="K30" s="5"/>
      <c r="L30" s="5"/>
      <c r="M30" s="5"/>
      <c r="N30" s="5"/>
      <c r="O30" s="5"/>
    </row>
    <row r="31" spans="2:15" x14ac:dyDescent="0.25">
      <c r="B31" s="38" t="s">
        <v>71</v>
      </c>
      <c r="C31" s="38" t="s">
        <v>72</v>
      </c>
      <c r="D31" s="38" t="s">
        <v>58</v>
      </c>
      <c r="E31" s="38" t="s">
        <v>73</v>
      </c>
      <c r="F31" s="38" t="s">
        <v>65</v>
      </c>
      <c r="G31" s="38" t="s">
        <v>40</v>
      </c>
      <c r="H31" s="39">
        <v>1000</v>
      </c>
      <c r="I31" s="5"/>
      <c r="J31" s="5"/>
      <c r="K31" s="5"/>
      <c r="L31" s="5"/>
      <c r="M31" s="5"/>
      <c r="N31" s="5"/>
      <c r="O31" s="5"/>
    </row>
    <row r="32" spans="2:15" x14ac:dyDescent="0.25">
      <c r="B32" s="38" t="s">
        <v>74</v>
      </c>
      <c r="C32" s="38" t="s">
        <v>72</v>
      </c>
      <c r="D32" s="38" t="s">
        <v>62</v>
      </c>
      <c r="E32" s="38" t="s">
        <v>73</v>
      </c>
      <c r="F32" s="38" t="s">
        <v>65</v>
      </c>
      <c r="G32" s="38" t="s">
        <v>40</v>
      </c>
      <c r="H32" s="39">
        <v>1000</v>
      </c>
      <c r="I32" s="5"/>
      <c r="J32" s="5"/>
      <c r="K32" s="5"/>
      <c r="L32" s="5"/>
      <c r="M32" s="5"/>
      <c r="N32" s="5"/>
      <c r="O32" s="5"/>
    </row>
    <row r="33" spans="2:15" x14ac:dyDescent="0.25">
      <c r="B33" s="38" t="s">
        <v>75</v>
      </c>
      <c r="C33" s="38" t="s">
        <v>76</v>
      </c>
      <c r="D33" s="38" t="s">
        <v>58</v>
      </c>
      <c r="E33" s="38" t="s">
        <v>73</v>
      </c>
      <c r="F33" s="38" t="s">
        <v>69</v>
      </c>
      <c r="G33" s="38" t="s">
        <v>40</v>
      </c>
      <c r="H33" s="39">
        <v>1000</v>
      </c>
      <c r="I33" s="5"/>
      <c r="J33" s="5"/>
      <c r="K33" s="5"/>
      <c r="L33" s="5"/>
      <c r="M33" s="5"/>
      <c r="N33" s="5"/>
      <c r="O33" s="5"/>
    </row>
    <row r="34" spans="2:15" x14ac:dyDescent="0.25">
      <c r="B34" s="38" t="s">
        <v>77</v>
      </c>
      <c r="C34" s="38" t="s">
        <v>76</v>
      </c>
      <c r="D34" s="38" t="s">
        <v>62</v>
      </c>
      <c r="E34" s="38" t="s">
        <v>73</v>
      </c>
      <c r="F34" s="38" t="s">
        <v>69</v>
      </c>
      <c r="G34" s="38" t="s">
        <v>40</v>
      </c>
      <c r="H34" s="39">
        <v>1000</v>
      </c>
      <c r="I34" s="5"/>
      <c r="J34" s="5"/>
      <c r="K34" s="5"/>
      <c r="L34" s="5"/>
      <c r="M34" s="5"/>
      <c r="N34" s="5"/>
      <c r="O34" s="5"/>
    </row>
    <row r="35" spans="2:15" x14ac:dyDescent="0.25">
      <c r="B35" s="38" t="s">
        <v>78</v>
      </c>
      <c r="C35" s="38" t="s">
        <v>79</v>
      </c>
      <c r="D35" s="38" t="s">
        <v>59</v>
      </c>
      <c r="E35" s="38" t="s">
        <v>80</v>
      </c>
      <c r="F35" s="38" t="s">
        <v>81</v>
      </c>
      <c r="G35" s="38" t="s">
        <v>40</v>
      </c>
      <c r="H35" s="39">
        <v>100</v>
      </c>
      <c r="I35" s="5"/>
      <c r="J35" s="5"/>
      <c r="K35" s="5"/>
      <c r="L35" s="5"/>
      <c r="M35" s="5"/>
      <c r="N35" s="5"/>
      <c r="O35" s="5"/>
    </row>
    <row r="36" spans="2:15" x14ac:dyDescent="0.25">
      <c r="B36" s="38" t="s">
        <v>82</v>
      </c>
      <c r="C36" s="38" t="s">
        <v>79</v>
      </c>
      <c r="D36" s="38" t="s">
        <v>81</v>
      </c>
      <c r="E36" s="38" t="s">
        <v>80</v>
      </c>
      <c r="F36" s="38" t="s">
        <v>81</v>
      </c>
      <c r="G36" s="38" t="s">
        <v>40</v>
      </c>
      <c r="H36" s="39">
        <v>100</v>
      </c>
      <c r="I36" s="5"/>
      <c r="J36" s="5"/>
      <c r="K36" s="5"/>
      <c r="L36" s="5"/>
      <c r="M36" s="5"/>
      <c r="N36" s="5"/>
      <c r="O36" s="5"/>
    </row>
    <row r="37" spans="2:15" x14ac:dyDescent="0.25">
      <c r="B37" s="38" t="s">
        <v>83</v>
      </c>
      <c r="C37" s="38" t="s">
        <v>84</v>
      </c>
      <c r="D37" s="38" t="s">
        <v>85</v>
      </c>
      <c r="E37" s="38" t="s">
        <v>80</v>
      </c>
      <c r="F37" s="38" t="s">
        <v>86</v>
      </c>
      <c r="G37" s="38" t="s">
        <v>40</v>
      </c>
      <c r="H37" s="39">
        <v>100</v>
      </c>
      <c r="I37" s="5"/>
      <c r="J37" s="5"/>
      <c r="K37" s="5"/>
      <c r="L37" s="5"/>
      <c r="M37" s="5"/>
      <c r="N37" s="5"/>
      <c r="O37" s="5"/>
    </row>
    <row r="38" spans="2:15" x14ac:dyDescent="0.25">
      <c r="B38" s="38" t="s">
        <v>87</v>
      </c>
      <c r="C38" s="38" t="s">
        <v>88</v>
      </c>
      <c r="D38" s="38" t="s">
        <v>89</v>
      </c>
      <c r="E38" s="38" t="s">
        <v>88</v>
      </c>
      <c r="F38" s="38" t="s">
        <v>89</v>
      </c>
      <c r="G38" s="38" t="s">
        <v>40</v>
      </c>
      <c r="H38" s="39">
        <v>147</v>
      </c>
      <c r="I38" s="5"/>
      <c r="J38" s="5"/>
      <c r="K38" s="5"/>
      <c r="L38" s="5"/>
      <c r="M38" s="5"/>
      <c r="N38" s="5"/>
      <c r="O38" s="5"/>
    </row>
    <row r="39" spans="2:15" x14ac:dyDescent="0.25">
      <c r="B39" s="38" t="s">
        <v>90</v>
      </c>
      <c r="C39" s="38" t="s">
        <v>88</v>
      </c>
      <c r="D39" s="38" t="s">
        <v>91</v>
      </c>
      <c r="E39" s="38" t="s">
        <v>88</v>
      </c>
      <c r="F39" s="38" t="s">
        <v>92</v>
      </c>
      <c r="G39" s="38" t="s">
        <v>40</v>
      </c>
      <c r="H39" s="39">
        <v>10</v>
      </c>
      <c r="I39" s="5"/>
      <c r="J39" s="5"/>
      <c r="K39" s="5"/>
      <c r="L39" s="5"/>
      <c r="M39" s="5"/>
      <c r="N39" s="5"/>
      <c r="O39" s="5"/>
    </row>
    <row r="40" spans="2:15" x14ac:dyDescent="0.25">
      <c r="B40" s="38" t="s">
        <v>93</v>
      </c>
      <c r="C40" s="38" t="s">
        <v>88</v>
      </c>
      <c r="D40" s="38" t="s">
        <v>89</v>
      </c>
      <c r="E40" s="38" t="s">
        <v>88</v>
      </c>
      <c r="F40" s="38" t="s">
        <v>89</v>
      </c>
      <c r="G40" s="38" t="s">
        <v>40</v>
      </c>
      <c r="H40" s="39">
        <v>102</v>
      </c>
      <c r="I40" s="5"/>
      <c r="J40" s="5"/>
      <c r="K40" s="5"/>
      <c r="L40" s="5"/>
      <c r="M40" s="5"/>
      <c r="N40" s="5"/>
      <c r="O40" s="5"/>
    </row>
    <row r="41" spans="2:15" x14ac:dyDescent="0.25">
      <c r="B41" s="38" t="s">
        <v>94</v>
      </c>
      <c r="C41" s="38" t="s">
        <v>88</v>
      </c>
      <c r="D41" s="38" t="s">
        <v>95</v>
      </c>
      <c r="E41" s="38" t="s">
        <v>88</v>
      </c>
      <c r="F41" s="38" t="s">
        <v>96</v>
      </c>
      <c r="G41" s="38" t="s">
        <v>40</v>
      </c>
      <c r="H41" s="39">
        <v>103</v>
      </c>
      <c r="I41" s="5"/>
      <c r="J41" s="5"/>
      <c r="K41" s="5"/>
      <c r="L41" s="5"/>
      <c r="M41" s="5"/>
      <c r="N41" s="5"/>
      <c r="O41" s="5"/>
    </row>
    <row r="42" spans="2:15" x14ac:dyDescent="0.25">
      <c r="B42" s="38" t="s">
        <v>97</v>
      </c>
      <c r="C42" s="38" t="s">
        <v>88</v>
      </c>
      <c r="D42" s="38" t="s">
        <v>98</v>
      </c>
      <c r="E42" s="38" t="s">
        <v>88</v>
      </c>
      <c r="F42" s="38" t="s">
        <v>92</v>
      </c>
      <c r="G42" s="38" t="s">
        <v>40</v>
      </c>
      <c r="H42" s="39">
        <v>105</v>
      </c>
      <c r="I42" s="5"/>
      <c r="J42" s="5"/>
      <c r="K42" s="5"/>
      <c r="L42" s="5"/>
      <c r="M42" s="5"/>
      <c r="N42" s="5"/>
      <c r="O42" s="5"/>
    </row>
    <row r="43" spans="2:15" x14ac:dyDescent="0.25">
      <c r="B43" s="38" t="s">
        <v>99</v>
      </c>
      <c r="C43" s="38" t="s">
        <v>88</v>
      </c>
      <c r="D43" s="38" t="s">
        <v>100</v>
      </c>
      <c r="E43" s="38" t="s">
        <v>88</v>
      </c>
      <c r="F43" s="38" t="s">
        <v>101</v>
      </c>
      <c r="G43" s="38" t="s">
        <v>40</v>
      </c>
      <c r="H43" s="39">
        <v>95</v>
      </c>
      <c r="I43" s="5"/>
      <c r="J43" s="5"/>
      <c r="K43" s="5"/>
      <c r="L43" s="5"/>
      <c r="M43" s="5"/>
      <c r="N43" s="5"/>
      <c r="O43" s="5"/>
    </row>
    <row r="44" spans="2:15" x14ac:dyDescent="0.25">
      <c r="B44" s="38" t="s">
        <v>102</v>
      </c>
      <c r="C44" s="38" t="s">
        <v>85</v>
      </c>
      <c r="D44" s="38" t="s">
        <v>103</v>
      </c>
      <c r="E44" s="38" t="s">
        <v>85</v>
      </c>
      <c r="F44" s="40" t="s">
        <v>104</v>
      </c>
      <c r="G44" s="38" t="s">
        <v>40</v>
      </c>
      <c r="H44" s="39">
        <v>38</v>
      </c>
      <c r="I44" s="5"/>
      <c r="J44" s="5"/>
      <c r="K44" s="5"/>
      <c r="L44" s="5"/>
      <c r="M44" s="5"/>
      <c r="N44" s="5"/>
      <c r="O44" s="5"/>
    </row>
    <row r="45" spans="2:15" x14ac:dyDescent="0.25">
      <c r="B45" s="38" t="s">
        <v>105</v>
      </c>
      <c r="C45" s="38" t="s">
        <v>85</v>
      </c>
      <c r="D45" s="38" t="s">
        <v>106</v>
      </c>
      <c r="E45" s="38" t="s">
        <v>85</v>
      </c>
      <c r="F45" s="40" t="s">
        <v>104</v>
      </c>
      <c r="G45" s="38" t="s">
        <v>40</v>
      </c>
      <c r="H45" s="39">
        <v>40</v>
      </c>
      <c r="I45" s="5"/>
      <c r="J45" s="5"/>
      <c r="K45" s="5"/>
      <c r="L45" s="5"/>
      <c r="M45" s="5"/>
      <c r="N45" s="5"/>
      <c r="O45" s="5"/>
    </row>
    <row r="46" spans="2:15" x14ac:dyDescent="0.25">
      <c r="B46" s="38" t="s">
        <v>16</v>
      </c>
      <c r="C46" s="38" t="s">
        <v>85</v>
      </c>
      <c r="D46" s="38" t="s">
        <v>106</v>
      </c>
      <c r="E46" s="38" t="s">
        <v>85</v>
      </c>
      <c r="F46" s="38" t="s">
        <v>107</v>
      </c>
      <c r="G46" s="38" t="s">
        <v>40</v>
      </c>
      <c r="H46" s="39">
        <v>60</v>
      </c>
      <c r="I46" s="5"/>
      <c r="J46" s="5"/>
      <c r="K46" s="5"/>
      <c r="L46" s="5"/>
      <c r="M46" s="5"/>
      <c r="N46" s="5"/>
      <c r="O46" s="5"/>
    </row>
    <row r="47" spans="2:15" x14ac:dyDescent="0.25">
      <c r="B47" s="38" t="s">
        <v>108</v>
      </c>
      <c r="C47" s="38" t="s">
        <v>85</v>
      </c>
      <c r="D47" s="38" t="s">
        <v>103</v>
      </c>
      <c r="E47" s="38" t="s">
        <v>85</v>
      </c>
      <c r="F47" s="38" t="s">
        <v>109</v>
      </c>
      <c r="G47" s="38" t="s">
        <v>40</v>
      </c>
      <c r="H47" s="39">
        <v>40</v>
      </c>
      <c r="I47" s="5"/>
      <c r="J47" s="5"/>
      <c r="K47" s="5"/>
      <c r="L47" s="5"/>
      <c r="M47" s="5"/>
      <c r="N47" s="5"/>
      <c r="O47" s="5"/>
    </row>
    <row r="48" spans="2:15" x14ac:dyDescent="0.25">
      <c r="B48" s="38" t="s">
        <v>110</v>
      </c>
      <c r="C48" s="38" t="s">
        <v>85</v>
      </c>
      <c r="D48" s="38" t="s">
        <v>103</v>
      </c>
      <c r="E48" s="38" t="s">
        <v>85</v>
      </c>
      <c r="F48" s="38" t="s">
        <v>109</v>
      </c>
      <c r="G48" s="38" t="s">
        <v>40</v>
      </c>
      <c r="H48" s="39">
        <v>16</v>
      </c>
      <c r="I48" s="5"/>
      <c r="J48" s="5"/>
      <c r="K48" s="5"/>
      <c r="L48" s="5"/>
      <c r="M48" s="5"/>
      <c r="N48" s="5"/>
      <c r="O48" s="5"/>
    </row>
    <row r="49" spans="2:15" x14ac:dyDescent="0.25">
      <c r="B49" s="38" t="s">
        <v>111</v>
      </c>
      <c r="C49" s="38" t="s">
        <v>85</v>
      </c>
      <c r="D49" s="38" t="s">
        <v>106</v>
      </c>
      <c r="E49" s="38" t="s">
        <v>85</v>
      </c>
      <c r="F49" s="38" t="s">
        <v>109</v>
      </c>
      <c r="G49" s="38" t="s">
        <v>40</v>
      </c>
      <c r="H49" s="39">
        <v>25</v>
      </c>
      <c r="I49" s="5"/>
      <c r="J49" s="5"/>
      <c r="K49" s="5"/>
      <c r="L49" s="5"/>
      <c r="M49" s="5"/>
      <c r="N49" s="5"/>
      <c r="O49" s="5"/>
    </row>
    <row r="50" spans="2:15" x14ac:dyDescent="0.25">
      <c r="B50" s="38" t="s">
        <v>112</v>
      </c>
      <c r="C50" s="38" t="s">
        <v>85</v>
      </c>
      <c r="D50" s="38" t="s">
        <v>106</v>
      </c>
      <c r="E50" s="38" t="s">
        <v>85</v>
      </c>
      <c r="F50" s="38" t="s">
        <v>109</v>
      </c>
      <c r="G50" s="38" t="s">
        <v>40</v>
      </c>
      <c r="H50" s="39">
        <v>16</v>
      </c>
      <c r="I50" s="5"/>
      <c r="J50" s="5"/>
      <c r="K50" s="5"/>
      <c r="L50" s="5"/>
      <c r="M50" s="5"/>
      <c r="N50" s="5"/>
      <c r="O50" s="5"/>
    </row>
    <row r="51" spans="2:15" s="2" customFormat="1" x14ac:dyDescent="0.25">
      <c r="B51" s="38"/>
      <c r="C51" s="41"/>
      <c r="D51" s="41"/>
      <c r="E51" s="41"/>
      <c r="F51" s="41"/>
      <c r="G51" s="41"/>
      <c r="H51" s="42"/>
      <c r="I51" s="5"/>
      <c r="J51" s="5"/>
      <c r="K51" s="5"/>
      <c r="L51" s="5"/>
      <c r="M51" s="5"/>
      <c r="N51" s="5"/>
      <c r="O51" s="5"/>
    </row>
    <row r="52" spans="2:15" x14ac:dyDescent="0.25">
      <c r="B52" s="43" t="s">
        <v>113</v>
      </c>
      <c r="C52" s="25"/>
      <c r="D52" s="25"/>
      <c r="E52" s="25"/>
      <c r="F52" s="25"/>
      <c r="G52" s="25"/>
      <c r="H52" s="25"/>
      <c r="I52" s="25"/>
      <c r="J52" s="26"/>
      <c r="K52" s="5"/>
      <c r="L52" s="5"/>
      <c r="M52" s="5"/>
      <c r="N52" s="5"/>
      <c r="O52" s="5"/>
    </row>
    <row r="53" spans="2:15" ht="31.5" customHeight="1" x14ac:dyDescent="0.25">
      <c r="B53" s="44" t="s">
        <v>114</v>
      </c>
      <c r="C53" s="44" t="s">
        <v>35</v>
      </c>
      <c r="D53" s="44" t="s">
        <v>38</v>
      </c>
      <c r="E53" s="44" t="s">
        <v>115</v>
      </c>
      <c r="F53" s="44" t="s">
        <v>25</v>
      </c>
      <c r="G53" s="44" t="s">
        <v>116</v>
      </c>
      <c r="H53" s="44" t="s">
        <v>117</v>
      </c>
      <c r="I53" s="44" t="s">
        <v>122</v>
      </c>
      <c r="J53" s="44" t="s">
        <v>118</v>
      </c>
      <c r="K53" s="5"/>
      <c r="L53" s="5"/>
      <c r="M53" s="5"/>
      <c r="N53" s="5"/>
      <c r="O53" s="5"/>
    </row>
    <row r="54" spans="2:15" x14ac:dyDescent="0.25">
      <c r="B54" s="38">
        <v>1</v>
      </c>
      <c r="C54" s="39">
        <f t="shared" ref="C54:C85" si="0">IF(B54=1,$C$11,0)</f>
        <v>1000</v>
      </c>
      <c r="D54" s="39">
        <f t="shared" ref="D54:D85" si="1">IF(B54&lt;=$C$13*12,IF($J$12="Sim",$C$12*(1+$J$5)^INT((B54-1)/12),$C$12),0)</f>
        <v>1000</v>
      </c>
      <c r="E54" s="39">
        <f>C54+D54</f>
        <v>2000</v>
      </c>
      <c r="F54" s="39">
        <f t="shared" ref="F54:F85" si="2">E54*((1+$C$16)^(1/12)-1)</f>
        <v>22.002039730794731</v>
      </c>
      <c r="G54" s="39">
        <f>C54+D54+IF($C$17="Sim",F54,0)</f>
        <v>2022.0020397307946</v>
      </c>
      <c r="H54" s="45" t="str">
        <f t="shared" ref="H54:H85" si="3">IF(OR(B54=1,B54=12,B54=24,B54=36,B54=48,B54=60),"Mês "&amp;B54,"")</f>
        <v>Mês 1</v>
      </c>
      <c r="I54" s="39">
        <f>SUM($C$54:C54)+SUM($D$54:D54)</f>
        <v>2000</v>
      </c>
      <c r="J54" s="39">
        <f>SUM($F$54:F54)</f>
        <v>22.002039730794731</v>
      </c>
      <c r="K54" s="5"/>
      <c r="L54" s="5"/>
      <c r="M54" s="5"/>
      <c r="N54" s="5"/>
      <c r="O54" s="5"/>
    </row>
    <row r="55" spans="2:15" x14ac:dyDescent="0.25">
      <c r="B55" s="38">
        <v>2</v>
      </c>
      <c r="C55" s="39">
        <f t="shared" si="0"/>
        <v>0</v>
      </c>
      <c r="D55" s="39">
        <f t="shared" si="1"/>
        <v>1000</v>
      </c>
      <c r="E55" s="39">
        <f t="shared" ref="E55:E86" si="4">G54+C55+D55</f>
        <v>3022.0020397307944</v>
      </c>
      <c r="F55" s="39">
        <f t="shared" si="2"/>
        <v>33.24510447234983</v>
      </c>
      <c r="G55" s="39">
        <f t="shared" ref="G55:G86" si="5">G54+C55+D55+IF($C$17="Sim",F55,0)</f>
        <v>3055.2471442031442</v>
      </c>
      <c r="H55" s="38" t="str">
        <f t="shared" si="3"/>
        <v/>
      </c>
      <c r="I55" s="39">
        <f>SUM($C$54:C55)+SUM($D$54:D55)</f>
        <v>3000</v>
      </c>
      <c r="J55" s="39">
        <f>SUM($F$54:F55)</f>
        <v>55.247144203144558</v>
      </c>
      <c r="K55" s="5"/>
      <c r="L55" s="5"/>
      <c r="M55" s="5"/>
      <c r="N55" s="5"/>
      <c r="O55" s="5"/>
    </row>
    <row r="56" spans="2:15" x14ac:dyDescent="0.25">
      <c r="B56" s="38">
        <v>3</v>
      </c>
      <c r="C56" s="39">
        <f t="shared" si="0"/>
        <v>0</v>
      </c>
      <c r="D56" s="39">
        <f t="shared" si="1"/>
        <v>1000</v>
      </c>
      <c r="E56" s="39">
        <f t="shared" si="4"/>
        <v>4055.2471442031442</v>
      </c>
      <c r="F56" s="39">
        <f t="shared" si="2"/>
        <v>44.611854392474726</v>
      </c>
      <c r="G56" s="39">
        <f t="shared" si="5"/>
        <v>4099.8589985956187</v>
      </c>
      <c r="H56" s="38" t="str">
        <f t="shared" si="3"/>
        <v/>
      </c>
      <c r="I56" s="39">
        <f>SUM($C$54:C56)+SUM($D$54:D56)</f>
        <v>4000</v>
      </c>
      <c r="J56" s="39">
        <f>SUM($F$54:F56)</f>
        <v>99.858998595619283</v>
      </c>
      <c r="K56" s="5"/>
      <c r="L56" s="5"/>
      <c r="M56" s="5"/>
      <c r="N56" s="5"/>
      <c r="O56" s="5"/>
    </row>
    <row r="57" spans="2:15" x14ac:dyDescent="0.25">
      <c r="B57" s="38">
        <v>4</v>
      </c>
      <c r="C57" s="39">
        <f t="shared" si="0"/>
        <v>0</v>
      </c>
      <c r="D57" s="39">
        <f t="shared" si="1"/>
        <v>1000</v>
      </c>
      <c r="E57" s="39">
        <f t="shared" si="4"/>
        <v>5099.8589985956187</v>
      </c>
      <c r="F57" s="39">
        <f t="shared" si="2"/>
        <v>56.103650154275918</v>
      </c>
      <c r="G57" s="39">
        <f t="shared" si="5"/>
        <v>5155.9626487498945</v>
      </c>
      <c r="H57" s="38" t="str">
        <f t="shared" si="3"/>
        <v/>
      </c>
      <c r="I57" s="39">
        <f>SUM($C$54:C57)+SUM($D$54:D57)</f>
        <v>5000</v>
      </c>
      <c r="J57" s="39">
        <f>SUM($F$54:F57)</f>
        <v>155.96264874989521</v>
      </c>
      <c r="K57" s="5"/>
      <c r="L57" s="5"/>
      <c r="M57" s="5"/>
      <c r="N57" s="5"/>
      <c r="O57" s="5"/>
    </row>
    <row r="58" spans="2:15" x14ac:dyDescent="0.25">
      <c r="B58" s="38">
        <v>5</v>
      </c>
      <c r="C58" s="39">
        <f t="shared" si="0"/>
        <v>0</v>
      </c>
      <c r="D58" s="39">
        <f t="shared" si="1"/>
        <v>1000</v>
      </c>
      <c r="E58" s="39">
        <f t="shared" si="4"/>
        <v>6155.9626487498945</v>
      </c>
      <c r="F58" s="39">
        <f t="shared" si="2"/>
        <v>67.721867389541771</v>
      </c>
      <c r="G58" s="39">
        <f t="shared" si="5"/>
        <v>6223.6845161394358</v>
      </c>
      <c r="H58" s="38" t="str">
        <f t="shared" si="3"/>
        <v/>
      </c>
      <c r="I58" s="39">
        <f>SUM($C$54:C58)+SUM($D$54:D58)</f>
        <v>6000</v>
      </c>
      <c r="J58" s="39">
        <f>SUM($F$54:F58)</f>
        <v>223.68451613943699</v>
      </c>
      <c r="K58" s="5"/>
      <c r="L58" s="5"/>
      <c r="M58" s="5"/>
      <c r="N58" s="5"/>
      <c r="O58" s="5"/>
    </row>
    <row r="59" spans="2:15" x14ac:dyDescent="0.25">
      <c r="B59" s="38">
        <v>6</v>
      </c>
      <c r="C59" s="39">
        <f t="shared" si="0"/>
        <v>0</v>
      </c>
      <c r="D59" s="39">
        <f t="shared" si="1"/>
        <v>1000</v>
      </c>
      <c r="E59" s="39">
        <f t="shared" si="4"/>
        <v>7223.6845161394358</v>
      </c>
      <c r="F59" s="39">
        <f t="shared" si="2"/>
        <v>79.467896863413287</v>
      </c>
      <c r="G59" s="39">
        <f t="shared" si="5"/>
        <v>7303.1524130028492</v>
      </c>
      <c r="H59" s="38" t="str">
        <f t="shared" si="3"/>
        <v/>
      </c>
      <c r="I59" s="39">
        <f>SUM($C$54:C59)+SUM($D$54:D59)</f>
        <v>7000</v>
      </c>
      <c r="J59" s="39">
        <f>SUM($F$54:F59)</f>
        <v>303.15241300285027</v>
      </c>
      <c r="K59" s="5"/>
      <c r="L59" s="5"/>
      <c r="M59" s="5"/>
      <c r="N59" s="5"/>
      <c r="O59" s="5"/>
    </row>
    <row r="60" spans="2:15" x14ac:dyDescent="0.25">
      <c r="B60" s="38">
        <v>7</v>
      </c>
      <c r="C60" s="39">
        <f t="shared" si="0"/>
        <v>0</v>
      </c>
      <c r="D60" s="39">
        <f t="shared" si="1"/>
        <v>1000</v>
      </c>
      <c r="E60" s="39">
        <f t="shared" si="4"/>
        <v>8303.1524130028483</v>
      </c>
      <c r="F60" s="39">
        <f t="shared" si="2"/>
        <v>91.343144640866413</v>
      </c>
      <c r="G60" s="39">
        <f t="shared" si="5"/>
        <v>8394.4955576437151</v>
      </c>
      <c r="H60" s="38" t="str">
        <f t="shared" si="3"/>
        <v/>
      </c>
      <c r="I60" s="39">
        <f>SUM($C$54:C60)+SUM($D$54:D60)</f>
        <v>8000</v>
      </c>
      <c r="J60" s="39">
        <f>SUM($F$54:F60)</f>
        <v>394.49555764371667</v>
      </c>
      <c r="K60" s="5"/>
      <c r="L60" s="5"/>
      <c r="M60" s="5"/>
      <c r="N60" s="5"/>
      <c r="O60" s="5"/>
    </row>
    <row r="61" spans="2:15" x14ac:dyDescent="0.25">
      <c r="B61" s="38">
        <v>8</v>
      </c>
      <c r="C61" s="39">
        <f t="shared" si="0"/>
        <v>0</v>
      </c>
      <c r="D61" s="39">
        <f t="shared" si="1"/>
        <v>1000</v>
      </c>
      <c r="E61" s="39">
        <f t="shared" si="4"/>
        <v>9394.4955576437151</v>
      </c>
      <c r="F61" s="39">
        <f t="shared" si="2"/>
        <v>103.34903225502582</v>
      </c>
      <c r="G61" s="39">
        <f t="shared" si="5"/>
        <v>9497.8445898987411</v>
      </c>
      <c r="H61" s="38" t="str">
        <f t="shared" si="3"/>
        <v/>
      </c>
      <c r="I61" s="39">
        <f>SUM($C$54:C61)+SUM($D$54:D61)</f>
        <v>9000</v>
      </c>
      <c r="J61" s="39">
        <f>SUM($F$54:F61)</f>
        <v>497.84458989874247</v>
      </c>
      <c r="K61" s="5"/>
      <c r="L61" s="5"/>
      <c r="M61" s="5"/>
      <c r="N61" s="5"/>
      <c r="O61" s="5"/>
    </row>
    <row r="62" spans="2:15" x14ac:dyDescent="0.25">
      <c r="B62" s="38">
        <v>9</v>
      </c>
      <c r="C62" s="39">
        <f t="shared" si="0"/>
        <v>0</v>
      </c>
      <c r="D62" s="39">
        <f t="shared" si="1"/>
        <v>1000</v>
      </c>
      <c r="E62" s="39">
        <f t="shared" si="4"/>
        <v>10497.844589898741</v>
      </c>
      <c r="F62" s="39">
        <f t="shared" si="2"/>
        <v>115.48699687733031</v>
      </c>
      <c r="G62" s="39">
        <f t="shared" si="5"/>
        <v>10613.331586776072</v>
      </c>
      <c r="H62" s="38" t="str">
        <f t="shared" si="3"/>
        <v/>
      </c>
      <c r="I62" s="39">
        <f>SUM($C$54:C62)+SUM($D$54:D62)</f>
        <v>10000</v>
      </c>
      <c r="J62" s="39">
        <f>SUM($F$54:F62)</f>
        <v>613.33158677607275</v>
      </c>
      <c r="K62" s="5"/>
      <c r="L62" s="5"/>
      <c r="M62" s="5"/>
      <c r="N62" s="5"/>
      <c r="O62" s="5"/>
    </row>
    <row r="63" spans="2:15" x14ac:dyDescent="0.25">
      <c r="B63" s="38">
        <v>10</v>
      </c>
      <c r="C63" s="39">
        <f t="shared" si="0"/>
        <v>0</v>
      </c>
      <c r="D63" s="39">
        <f t="shared" si="1"/>
        <v>1000</v>
      </c>
      <c r="E63" s="39">
        <f t="shared" si="4"/>
        <v>11613.331586776072</v>
      </c>
      <c r="F63" s="39">
        <f t="shared" si="2"/>
        <v>127.75849148957028</v>
      </c>
      <c r="G63" s="39">
        <f t="shared" si="5"/>
        <v>11741.090078265643</v>
      </c>
      <c r="H63" s="38" t="str">
        <f t="shared" si="3"/>
        <v/>
      </c>
      <c r="I63" s="39">
        <f>SUM($C$54:C63)+SUM($D$54:D63)</f>
        <v>11000</v>
      </c>
      <c r="J63" s="39">
        <f>SUM($F$54:F63)</f>
        <v>741.090078265643</v>
      </c>
      <c r="K63" s="5"/>
      <c r="L63" s="5"/>
      <c r="M63" s="5"/>
      <c r="N63" s="5"/>
      <c r="O63" s="5"/>
    </row>
    <row r="64" spans="2:15" x14ac:dyDescent="0.25">
      <c r="B64" s="38">
        <v>11</v>
      </c>
      <c r="C64" s="39">
        <f t="shared" si="0"/>
        <v>0</v>
      </c>
      <c r="D64" s="39">
        <f t="shared" si="1"/>
        <v>1000</v>
      </c>
      <c r="E64" s="39">
        <f t="shared" si="4"/>
        <v>12741.090078265643</v>
      </c>
      <c r="F64" s="39">
        <f t="shared" si="2"/>
        <v>140.1649850578176</v>
      </c>
      <c r="G64" s="39">
        <f t="shared" si="5"/>
        <v>12881.25506332346</v>
      </c>
      <c r="H64" s="38" t="str">
        <f t="shared" si="3"/>
        <v/>
      </c>
      <c r="I64" s="39">
        <f>SUM($C$54:C64)+SUM($D$54:D64)</f>
        <v>12000</v>
      </c>
      <c r="J64" s="39">
        <f>SUM($F$54:F64)</f>
        <v>881.2550633234606</v>
      </c>
      <c r="K64" s="5"/>
      <c r="L64" s="5"/>
      <c r="M64" s="5"/>
      <c r="N64" s="5"/>
      <c r="O64" s="5"/>
    </row>
    <row r="65" spans="2:15" x14ac:dyDescent="0.25">
      <c r="B65" s="38">
        <v>12</v>
      </c>
      <c r="C65" s="39">
        <f t="shared" si="0"/>
        <v>0</v>
      </c>
      <c r="D65" s="39">
        <f t="shared" si="1"/>
        <v>1000</v>
      </c>
      <c r="E65" s="39">
        <f t="shared" si="4"/>
        <v>13881.25506332346</v>
      </c>
      <c r="F65" s="39">
        <f t="shared" si="2"/>
        <v>152.70796270826915</v>
      </c>
      <c r="G65" s="39">
        <f t="shared" si="5"/>
        <v>14033.96302603173</v>
      </c>
      <c r="H65" s="45" t="str">
        <f t="shared" si="3"/>
        <v>Mês 12</v>
      </c>
      <c r="I65" s="39">
        <f>SUM($C$54:C65)+SUM($D$54:D65)</f>
        <v>13000</v>
      </c>
      <c r="J65" s="39">
        <f>SUM($F$54:F65)</f>
        <v>1033.9630260317297</v>
      </c>
      <c r="K65" s="5"/>
      <c r="L65" s="5"/>
      <c r="M65" s="5"/>
      <c r="N65" s="5"/>
      <c r="O65" s="5"/>
    </row>
    <row r="66" spans="2:15" x14ac:dyDescent="0.25">
      <c r="B66" s="38">
        <v>13</v>
      </c>
      <c r="C66" s="39">
        <f t="shared" si="0"/>
        <v>0</v>
      </c>
      <c r="D66" s="39">
        <f t="shared" si="1"/>
        <v>1045</v>
      </c>
      <c r="E66" s="39">
        <f t="shared" si="4"/>
        <v>15078.96302603173</v>
      </c>
      <c r="F66" s="39">
        <f t="shared" si="2"/>
        <v>165.88397179896742</v>
      </c>
      <c r="G66" s="39">
        <f t="shared" si="5"/>
        <v>15244.846997830697</v>
      </c>
      <c r="H66" s="38" t="str">
        <f t="shared" si="3"/>
        <v/>
      </c>
      <c r="I66" s="39">
        <f>SUM($C$54:C66)+SUM($D$54:D66)</f>
        <v>14045</v>
      </c>
      <c r="J66" s="39">
        <f>SUM($F$54:F66)</f>
        <v>1199.8469978306971</v>
      </c>
      <c r="K66" s="5"/>
      <c r="L66" s="5"/>
      <c r="M66" s="5"/>
      <c r="N66" s="5"/>
      <c r="O66" s="5"/>
    </row>
    <row r="67" spans="2:15" x14ac:dyDescent="0.25">
      <c r="B67" s="38">
        <v>14</v>
      </c>
      <c r="C67" s="39">
        <f t="shared" si="0"/>
        <v>0</v>
      </c>
      <c r="D67" s="39">
        <f t="shared" si="1"/>
        <v>1045</v>
      </c>
      <c r="E67" s="39">
        <f t="shared" si="4"/>
        <v>16289.846997830697</v>
      </c>
      <c r="F67" s="39">
        <f t="shared" si="2"/>
        <v>179.20493042741913</v>
      </c>
      <c r="G67" s="39">
        <f t="shared" si="5"/>
        <v>16469.051928258115</v>
      </c>
      <c r="H67" s="38" t="str">
        <f t="shared" si="3"/>
        <v/>
      </c>
      <c r="I67" s="39">
        <f>SUM($C$54:C67)+SUM($D$54:D67)</f>
        <v>15090</v>
      </c>
      <c r="J67" s="39">
        <f>SUM($F$54:F67)</f>
        <v>1379.0519282581163</v>
      </c>
      <c r="K67" s="5"/>
      <c r="L67" s="5"/>
      <c r="M67" s="5"/>
      <c r="N67" s="5"/>
      <c r="O67" s="5"/>
    </row>
    <row r="68" spans="2:15" x14ac:dyDescent="0.25">
      <c r="B68" s="38">
        <v>15</v>
      </c>
      <c r="C68" s="39">
        <f t="shared" si="0"/>
        <v>0</v>
      </c>
      <c r="D68" s="39">
        <f t="shared" si="1"/>
        <v>1045</v>
      </c>
      <c r="E68" s="39">
        <f t="shared" si="4"/>
        <v>17514.051928258115</v>
      </c>
      <c r="F68" s="39">
        <f t="shared" si="2"/>
        <v>192.67243318636855</v>
      </c>
      <c r="G68" s="39">
        <f t="shared" si="5"/>
        <v>17706.724361444485</v>
      </c>
      <c r="H68" s="38" t="str">
        <f t="shared" si="3"/>
        <v/>
      </c>
      <c r="I68" s="39">
        <f>SUM($C$54:C68)+SUM($D$54:D68)</f>
        <v>16135</v>
      </c>
      <c r="J68" s="39">
        <f>SUM($F$54:F68)</f>
        <v>1571.7243614444849</v>
      </c>
      <c r="K68" s="5"/>
      <c r="L68" s="5"/>
      <c r="M68" s="5"/>
      <c r="N68" s="5"/>
      <c r="O68" s="5"/>
    </row>
    <row r="69" spans="2:15" x14ac:dyDescent="0.25">
      <c r="B69" s="38">
        <v>16</v>
      </c>
      <c r="C69" s="39">
        <f t="shared" si="0"/>
        <v>0</v>
      </c>
      <c r="D69" s="39">
        <f t="shared" si="1"/>
        <v>1045</v>
      </c>
      <c r="E69" s="39">
        <f t="shared" si="4"/>
        <v>18751.724361444485</v>
      </c>
      <c r="F69" s="39">
        <f t="shared" si="2"/>
        <v>206.28809221070651</v>
      </c>
      <c r="G69" s="39">
        <f t="shared" si="5"/>
        <v>18958.012453655192</v>
      </c>
      <c r="H69" s="38" t="str">
        <f t="shared" si="3"/>
        <v/>
      </c>
      <c r="I69" s="39">
        <f>SUM($C$54:C69)+SUM($D$54:D69)</f>
        <v>17180</v>
      </c>
      <c r="J69" s="39">
        <f>SUM($F$54:F69)</f>
        <v>1778.0124536551914</v>
      </c>
      <c r="K69" s="5"/>
      <c r="L69" s="5"/>
      <c r="M69" s="5"/>
      <c r="N69" s="5"/>
      <c r="O69" s="5"/>
    </row>
    <row r="70" spans="2:15" x14ac:dyDescent="0.25">
      <c r="B70" s="38">
        <v>17</v>
      </c>
      <c r="C70" s="39">
        <f t="shared" si="0"/>
        <v>0</v>
      </c>
      <c r="D70" s="39">
        <f t="shared" si="1"/>
        <v>1045</v>
      </c>
      <c r="E70" s="39">
        <f t="shared" si="4"/>
        <v>20003.012453655192</v>
      </c>
      <c r="F70" s="39">
        <f t="shared" si="2"/>
        <v>220.05353737045166</v>
      </c>
      <c r="G70" s="39">
        <f t="shared" si="5"/>
        <v>20223.065991025644</v>
      </c>
      <c r="H70" s="38" t="str">
        <f t="shared" si="3"/>
        <v/>
      </c>
      <c r="I70" s="39">
        <f>SUM($C$54:C70)+SUM($D$54:D70)</f>
        <v>18225</v>
      </c>
      <c r="J70" s="39">
        <f>SUM($F$54:F70)</f>
        <v>1998.0659910256431</v>
      </c>
      <c r="K70" s="5"/>
      <c r="L70" s="5"/>
      <c r="M70" s="5"/>
      <c r="N70" s="5"/>
      <c r="O70" s="5"/>
    </row>
    <row r="71" spans="2:15" x14ac:dyDescent="0.25">
      <c r="B71" s="38">
        <v>18</v>
      </c>
      <c r="C71" s="39">
        <f t="shared" si="0"/>
        <v>0</v>
      </c>
      <c r="D71" s="39">
        <f t="shared" si="1"/>
        <v>1045</v>
      </c>
      <c r="E71" s="39">
        <f t="shared" si="4"/>
        <v>21268.065991025644</v>
      </c>
      <c r="F71" s="39">
        <f t="shared" si="2"/>
        <v>233.97041646585521</v>
      </c>
      <c r="G71" s="39">
        <f t="shared" si="5"/>
        <v>21502.036407491498</v>
      </c>
      <c r="H71" s="38" t="str">
        <f t="shared" si="3"/>
        <v/>
      </c>
      <c r="I71" s="39">
        <f>SUM($C$54:C71)+SUM($D$54:D71)</f>
        <v>19270</v>
      </c>
      <c r="J71" s="39">
        <f>SUM($F$54:F71)</f>
        <v>2232.0364074914983</v>
      </c>
      <c r="K71" s="5"/>
      <c r="L71" s="5"/>
      <c r="M71" s="5"/>
      <c r="N71" s="5"/>
      <c r="O71" s="5"/>
    </row>
    <row r="72" spans="2:15" x14ac:dyDescent="0.25">
      <c r="B72" s="38">
        <v>19</v>
      </c>
      <c r="C72" s="39">
        <f t="shared" si="0"/>
        <v>0</v>
      </c>
      <c r="D72" s="39">
        <f t="shared" si="1"/>
        <v>1045</v>
      </c>
      <c r="E72" s="39">
        <f t="shared" si="4"/>
        <v>22547.036407491498</v>
      </c>
      <c r="F72" s="39">
        <f t="shared" si="2"/>
        <v>248.04039542465162</v>
      </c>
      <c r="G72" s="39">
        <f t="shared" si="5"/>
        <v>22795.076802916148</v>
      </c>
      <c r="H72" s="38" t="str">
        <f t="shared" si="3"/>
        <v/>
      </c>
      <c r="I72" s="39">
        <f>SUM($C$54:C72)+SUM($D$54:D72)</f>
        <v>20315</v>
      </c>
      <c r="J72" s="39">
        <f>SUM($F$54:F72)</f>
        <v>2480.07680291615</v>
      </c>
      <c r="K72" s="5"/>
      <c r="L72" s="5"/>
      <c r="M72" s="5"/>
      <c r="N72" s="5"/>
      <c r="O72" s="5"/>
    </row>
    <row r="73" spans="2:15" x14ac:dyDescent="0.25">
      <c r="B73" s="38">
        <v>20</v>
      </c>
      <c r="C73" s="39">
        <f t="shared" si="0"/>
        <v>0</v>
      </c>
      <c r="D73" s="39">
        <f t="shared" si="1"/>
        <v>1045</v>
      </c>
      <c r="E73" s="39">
        <f t="shared" si="4"/>
        <v>23840.076802916148</v>
      </c>
      <c r="F73" s="39">
        <f t="shared" si="2"/>
        <v>262.26515850147945</v>
      </c>
      <c r="G73" s="39">
        <f t="shared" si="5"/>
        <v>24102.341961417627</v>
      </c>
      <c r="H73" s="38" t="str">
        <f t="shared" si="3"/>
        <v/>
      </c>
      <c r="I73" s="39">
        <f>SUM($C$54:C73)+SUM($D$54:D73)</f>
        <v>21360</v>
      </c>
      <c r="J73" s="39">
        <f>SUM($F$54:F73)</f>
        <v>2742.3419614176296</v>
      </c>
      <c r="K73" s="5"/>
      <c r="L73" s="5"/>
      <c r="M73" s="5"/>
      <c r="N73" s="5"/>
      <c r="O73" s="5"/>
    </row>
    <row r="74" spans="2:15" x14ac:dyDescent="0.25">
      <c r="B74" s="38">
        <v>21</v>
      </c>
      <c r="C74" s="39">
        <f t="shared" si="0"/>
        <v>0</v>
      </c>
      <c r="D74" s="39">
        <f t="shared" si="1"/>
        <v>1045</v>
      </c>
      <c r="E74" s="39">
        <f t="shared" si="4"/>
        <v>25147.341961417627</v>
      </c>
      <c r="F74" s="39">
        <f t="shared" si="2"/>
        <v>276.64640847949607</v>
      </c>
      <c r="G74" s="39">
        <f t="shared" si="5"/>
        <v>25423.988369897124</v>
      </c>
      <c r="H74" s="38" t="str">
        <f t="shared" si="3"/>
        <v/>
      </c>
      <c r="I74" s="39">
        <f>SUM($C$54:C74)+SUM($D$54:D74)</f>
        <v>22405</v>
      </c>
      <c r="J74" s="39">
        <f>SUM($F$54:F74)</f>
        <v>3018.9883698971257</v>
      </c>
      <c r="K74" s="5"/>
      <c r="L74" s="5"/>
      <c r="M74" s="5"/>
      <c r="N74" s="5"/>
      <c r="O74" s="5"/>
    </row>
    <row r="75" spans="2:15" x14ac:dyDescent="0.25">
      <c r="B75" s="38">
        <v>22</v>
      </c>
      <c r="C75" s="39">
        <f t="shared" si="0"/>
        <v>0</v>
      </c>
      <c r="D75" s="39">
        <f t="shared" si="1"/>
        <v>1045</v>
      </c>
      <c r="E75" s="39">
        <f t="shared" si="4"/>
        <v>26468.988369897124</v>
      </c>
      <c r="F75" s="39">
        <f t="shared" si="2"/>
        <v>291.18586687421009</v>
      </c>
      <c r="G75" s="39">
        <f t="shared" si="5"/>
        <v>26760.174236771334</v>
      </c>
      <c r="H75" s="38" t="str">
        <f t="shared" si="3"/>
        <v/>
      </c>
      <c r="I75" s="39">
        <f>SUM($C$54:C75)+SUM($D$54:D75)</f>
        <v>23450</v>
      </c>
      <c r="J75" s="39">
        <f>SUM($F$54:F75)</f>
        <v>3310.1742367713359</v>
      </c>
      <c r="K75" s="5"/>
      <c r="L75" s="5"/>
      <c r="M75" s="5"/>
      <c r="N75" s="5"/>
      <c r="O75" s="5"/>
    </row>
    <row r="76" spans="2:15" x14ac:dyDescent="0.25">
      <c r="B76" s="38">
        <v>23</v>
      </c>
      <c r="C76" s="39">
        <f t="shared" si="0"/>
        <v>0</v>
      </c>
      <c r="D76" s="39">
        <f t="shared" si="1"/>
        <v>1045</v>
      </c>
      <c r="E76" s="39">
        <f t="shared" si="4"/>
        <v>27805.174236771334</v>
      </c>
      <c r="F76" s="39">
        <f t="shared" si="2"/>
        <v>305.88527413955649</v>
      </c>
      <c r="G76" s="39">
        <f t="shared" si="5"/>
        <v>28111.059510910891</v>
      </c>
      <c r="H76" s="38" t="str">
        <f t="shared" si="3"/>
        <v/>
      </c>
      <c r="I76" s="39">
        <f>SUM($C$54:C76)+SUM($D$54:D76)</f>
        <v>24495</v>
      </c>
      <c r="J76" s="39">
        <f>SUM($F$54:F76)</f>
        <v>3616.0595109108926</v>
      </c>
      <c r="K76" s="5"/>
      <c r="L76" s="5"/>
      <c r="M76" s="5"/>
      <c r="N76" s="5"/>
      <c r="O76" s="5"/>
    </row>
    <row r="77" spans="2:15" x14ac:dyDescent="0.25">
      <c r="B77" s="38">
        <v>24</v>
      </c>
      <c r="C77" s="39">
        <f t="shared" si="0"/>
        <v>0</v>
      </c>
      <c r="D77" s="39">
        <f t="shared" si="1"/>
        <v>1045</v>
      </c>
      <c r="E77" s="39">
        <f t="shared" si="4"/>
        <v>29156.059510910891</v>
      </c>
      <c r="F77" s="39">
        <f t="shared" si="2"/>
        <v>320.74638987623854</v>
      </c>
      <c r="G77" s="39">
        <f t="shared" si="5"/>
        <v>29476.805900787131</v>
      </c>
      <c r="H77" s="45" t="str">
        <f t="shared" si="3"/>
        <v>Mês 24</v>
      </c>
      <c r="I77" s="39">
        <f>SUM($C$54:C77)+SUM($D$54:D77)</f>
        <v>25540</v>
      </c>
      <c r="J77" s="39">
        <f>SUM($F$54:F77)</f>
        <v>3936.8059007871311</v>
      </c>
      <c r="K77" s="5"/>
      <c r="L77" s="5"/>
      <c r="M77" s="5"/>
      <c r="N77" s="5"/>
      <c r="O77" s="5"/>
    </row>
    <row r="78" spans="2:15" x14ac:dyDescent="0.25">
      <c r="B78" s="38">
        <v>25</v>
      </c>
      <c r="C78" s="39">
        <f t="shared" si="0"/>
        <v>0</v>
      </c>
      <c r="D78" s="39">
        <f t="shared" si="1"/>
        <v>1092.0249999999999</v>
      </c>
      <c r="E78" s="39">
        <f t="shared" si="4"/>
        <v>30568.830900787132</v>
      </c>
      <c r="F78" s="39">
        <f t="shared" si="2"/>
        <v>336.28831600153211</v>
      </c>
      <c r="G78" s="39">
        <f t="shared" si="5"/>
        <v>30905.119216788666</v>
      </c>
      <c r="H78" s="38" t="str">
        <f t="shared" si="3"/>
        <v/>
      </c>
      <c r="I78" s="39">
        <f>SUM($C$54:C78)+SUM($D$54:D78)</f>
        <v>26632.025000000001</v>
      </c>
      <c r="J78" s="39">
        <f>SUM($F$54:F78)</f>
        <v>4273.0942167886633</v>
      </c>
      <c r="K78" s="5"/>
      <c r="L78" s="5"/>
      <c r="M78" s="5"/>
      <c r="N78" s="5"/>
      <c r="O78" s="5"/>
    </row>
    <row r="79" spans="2:15" x14ac:dyDescent="0.25">
      <c r="B79" s="38">
        <v>26</v>
      </c>
      <c r="C79" s="39">
        <f t="shared" si="0"/>
        <v>0</v>
      </c>
      <c r="D79" s="39">
        <f t="shared" si="1"/>
        <v>1092.0249999999999</v>
      </c>
      <c r="E79" s="39">
        <f t="shared" si="4"/>
        <v>31997.144216788667</v>
      </c>
      <c r="F79" s="39">
        <f t="shared" si="2"/>
        <v>352.00121916487655</v>
      </c>
      <c r="G79" s="39">
        <f t="shared" si="5"/>
        <v>32349.145435953542</v>
      </c>
      <c r="H79" s="38" t="str">
        <f t="shared" si="3"/>
        <v/>
      </c>
      <c r="I79" s="39">
        <f>SUM($C$54:C79)+SUM($D$54:D79)</f>
        <v>27724.050000000003</v>
      </c>
      <c r="J79" s="39">
        <f>SUM($F$54:F79)</f>
        <v>4625.0954359535399</v>
      </c>
      <c r="K79" s="5"/>
      <c r="L79" s="5"/>
      <c r="M79" s="5"/>
      <c r="N79" s="5"/>
      <c r="O79" s="5"/>
    </row>
    <row r="80" spans="2:15" x14ac:dyDescent="0.25">
      <c r="B80" s="38">
        <v>27</v>
      </c>
      <c r="C80" s="39">
        <f t="shared" si="0"/>
        <v>0</v>
      </c>
      <c r="D80" s="39">
        <f t="shared" si="1"/>
        <v>1092.0249999999999</v>
      </c>
      <c r="E80" s="39">
        <f t="shared" si="4"/>
        <v>33441.170435953543</v>
      </c>
      <c r="F80" s="39">
        <f t="shared" si="2"/>
        <v>367.88698028806402</v>
      </c>
      <c r="G80" s="39">
        <f t="shared" si="5"/>
        <v>33809.057416241609</v>
      </c>
      <c r="H80" s="38" t="str">
        <f t="shared" si="3"/>
        <v/>
      </c>
      <c r="I80" s="39">
        <f>SUM($C$54:C80)+SUM($D$54:D80)</f>
        <v>28816.075000000004</v>
      </c>
      <c r="J80" s="39">
        <f>SUM($F$54:F80)</f>
        <v>4992.9824162416044</v>
      </c>
      <c r="K80" s="5"/>
      <c r="L80" s="5"/>
      <c r="M80" s="5"/>
      <c r="N80" s="5"/>
      <c r="O80" s="5"/>
    </row>
    <row r="81" spans="2:15" x14ac:dyDescent="0.25">
      <c r="B81" s="38">
        <v>28</v>
      </c>
      <c r="C81" s="39">
        <f t="shared" si="0"/>
        <v>0</v>
      </c>
      <c r="D81" s="39">
        <f t="shared" si="1"/>
        <v>1092.0249999999999</v>
      </c>
      <c r="E81" s="39">
        <f t="shared" si="4"/>
        <v>34901.08241624161</v>
      </c>
      <c r="F81" s="39">
        <f t="shared" si="2"/>
        <v>383.94750098494467</v>
      </c>
      <c r="G81" s="39">
        <f t="shared" si="5"/>
        <v>35285.029917226551</v>
      </c>
      <c r="H81" s="38" t="str">
        <f t="shared" si="3"/>
        <v/>
      </c>
      <c r="I81" s="39">
        <f>SUM($C$54:C81)+SUM($D$54:D81)</f>
        <v>29908.100000000006</v>
      </c>
      <c r="J81" s="39">
        <f>SUM($F$54:F81)</f>
        <v>5376.9299172265492</v>
      </c>
      <c r="K81" s="5"/>
      <c r="L81" s="5"/>
      <c r="M81" s="5"/>
      <c r="N81" s="5"/>
      <c r="O81" s="5"/>
    </row>
    <row r="82" spans="2:15" x14ac:dyDescent="0.25">
      <c r="B82" s="38">
        <v>29</v>
      </c>
      <c r="C82" s="39">
        <f t="shared" si="0"/>
        <v>0</v>
      </c>
      <c r="D82" s="39">
        <f t="shared" si="1"/>
        <v>1092.0249999999999</v>
      </c>
      <c r="E82" s="39">
        <f t="shared" si="4"/>
        <v>36377.054917226553</v>
      </c>
      <c r="F82" s="39">
        <f t="shared" si="2"/>
        <v>400.18470378906022</v>
      </c>
      <c r="G82" s="39">
        <f t="shared" si="5"/>
        <v>36777.239621015615</v>
      </c>
      <c r="H82" s="38" t="str">
        <f t="shared" si="3"/>
        <v/>
      </c>
      <c r="I82" s="39">
        <f>SUM($C$54:C82)+SUM($D$54:D82)</f>
        <v>31000.125000000007</v>
      </c>
      <c r="J82" s="39">
        <f>SUM($F$54:F82)</f>
        <v>5777.1146210156094</v>
      </c>
      <c r="K82" s="5"/>
      <c r="L82" s="5"/>
      <c r="M82" s="5"/>
      <c r="N82" s="5"/>
      <c r="O82" s="5"/>
    </row>
    <row r="83" spans="2:15" x14ac:dyDescent="0.25">
      <c r="B83" s="38">
        <v>30</v>
      </c>
      <c r="C83" s="39">
        <f t="shared" si="0"/>
        <v>0</v>
      </c>
      <c r="D83" s="39">
        <f t="shared" si="1"/>
        <v>1092.0249999999999</v>
      </c>
      <c r="E83" s="39">
        <f t="shared" si="4"/>
        <v>37869.264621015616</v>
      </c>
      <c r="F83" s="39">
        <f t="shared" si="2"/>
        <v>416.60053238378242</v>
      </c>
      <c r="G83" s="39">
        <f t="shared" si="5"/>
        <v>38285.865153399398</v>
      </c>
      <c r="H83" s="38" t="str">
        <f t="shared" si="3"/>
        <v/>
      </c>
      <c r="I83" s="39">
        <f>SUM($C$54:C83)+SUM($D$54:D83)</f>
        <v>32092.150000000009</v>
      </c>
      <c r="J83" s="39">
        <f>SUM($F$54:F83)</f>
        <v>6193.715153399392</v>
      </c>
      <c r="K83" s="5"/>
      <c r="L83" s="5"/>
      <c r="M83" s="5"/>
      <c r="N83" s="5"/>
      <c r="O83" s="5"/>
    </row>
    <row r="84" spans="2:15" x14ac:dyDescent="0.25">
      <c r="B84" s="38">
        <v>31</v>
      </c>
      <c r="C84" s="39">
        <f t="shared" si="0"/>
        <v>0</v>
      </c>
      <c r="D84" s="39">
        <f t="shared" si="1"/>
        <v>1092.0249999999999</v>
      </c>
      <c r="E84" s="39">
        <f t="shared" si="4"/>
        <v>39377.890153399399</v>
      </c>
      <c r="F84" s="39">
        <f t="shared" si="2"/>
        <v>433.19695183498209</v>
      </c>
      <c r="G84" s="39">
        <f t="shared" si="5"/>
        <v>39811.087105234379</v>
      </c>
      <c r="H84" s="38" t="str">
        <f t="shared" si="3"/>
        <v/>
      </c>
      <c r="I84" s="39">
        <f>SUM($C$54:C84)+SUM($D$54:D84)</f>
        <v>33184.17500000001</v>
      </c>
      <c r="J84" s="39">
        <f>SUM($F$54:F84)</f>
        <v>6626.9121052343744</v>
      </c>
      <c r="K84" s="5"/>
      <c r="L84" s="5"/>
      <c r="M84" s="5"/>
      <c r="N84" s="5"/>
      <c r="O84" s="5"/>
    </row>
    <row r="85" spans="2:15" x14ac:dyDescent="0.25">
      <c r="B85" s="38">
        <v>32</v>
      </c>
      <c r="C85" s="39">
        <f t="shared" si="0"/>
        <v>0</v>
      </c>
      <c r="D85" s="39">
        <f t="shared" si="1"/>
        <v>1092.0249999999999</v>
      </c>
      <c r="E85" s="39">
        <f t="shared" si="4"/>
        <v>40903.112105234381</v>
      </c>
      <c r="F85" s="39">
        <f t="shared" si="2"/>
        <v>449.9759488262589</v>
      </c>
      <c r="G85" s="39">
        <f t="shared" si="5"/>
        <v>41353.088054060638</v>
      </c>
      <c r="H85" s="38" t="str">
        <f t="shared" si="3"/>
        <v/>
      </c>
      <c r="I85" s="39">
        <f>SUM($C$54:C85)+SUM($D$54:D85)</f>
        <v>34276.200000000012</v>
      </c>
      <c r="J85" s="39">
        <f>SUM($F$54:F85)</f>
        <v>7076.8880540606333</v>
      </c>
      <c r="K85" s="5"/>
      <c r="L85" s="5"/>
      <c r="M85" s="5"/>
      <c r="N85" s="5"/>
      <c r="O85" s="5"/>
    </row>
    <row r="86" spans="2:15" x14ac:dyDescent="0.25">
      <c r="B86" s="38">
        <v>33</v>
      </c>
      <c r="C86" s="39">
        <f t="shared" ref="C86:C113" si="6">IF(B86=1,$C$11,0)</f>
        <v>0</v>
      </c>
      <c r="D86" s="39">
        <f t="shared" ref="D86:D113" si="7">IF(B86&lt;=$C$13*12,IF($J$12="Sim",$C$12*(1+$J$5)^INT((B86-1)/12),$C$12),0)</f>
        <v>1092.0249999999999</v>
      </c>
      <c r="E86" s="39">
        <f t="shared" si="4"/>
        <v>42445.113054060639</v>
      </c>
      <c r="F86" s="39">
        <f t="shared" ref="F86:F113" si="8">E86*((1+$C$16)^(1/12)-1)</f>
        <v>466.93953189675813</v>
      </c>
      <c r="G86" s="39">
        <f t="shared" si="5"/>
        <v>42912.052585957397</v>
      </c>
      <c r="H86" s="38" t="str">
        <f t="shared" ref="H86:H113" si="9">IF(OR(B86=1,B86=12,B86=24,B86=36,B86=48,B86=60),"Mês "&amp;B86,"")</f>
        <v/>
      </c>
      <c r="I86" s="39">
        <f>SUM($C$54:C86)+SUM($D$54:D86)</f>
        <v>35368.225000000013</v>
      </c>
      <c r="J86" s="39">
        <f>SUM($F$54:F86)</f>
        <v>7543.8275859573914</v>
      </c>
      <c r="K86" s="5"/>
      <c r="L86" s="5"/>
      <c r="M86" s="5"/>
      <c r="N86" s="5"/>
      <c r="O86" s="5"/>
    </row>
    <row r="87" spans="2:15" x14ac:dyDescent="0.25">
      <c r="B87" s="38">
        <v>34</v>
      </c>
      <c r="C87" s="39">
        <f t="shared" si="6"/>
        <v>0</v>
      </c>
      <c r="D87" s="39">
        <f t="shared" si="7"/>
        <v>1092.0249999999999</v>
      </c>
      <c r="E87" s="39">
        <f t="shared" ref="E87:E113" si="10">G86+C87+D87</f>
        <v>44004.077585957399</v>
      </c>
      <c r="F87" s="39">
        <f t="shared" si="8"/>
        <v>484.08973168160429</v>
      </c>
      <c r="G87" s="39">
        <f t="shared" ref="G87:G113" si="11">G86+C87+D87+IF($C$17="Sim",F87,0)</f>
        <v>44488.167317639003</v>
      </c>
      <c r="H87" s="38" t="str">
        <f t="shared" si="9"/>
        <v/>
      </c>
      <c r="I87" s="39">
        <f>SUM($C$54:C87)+SUM($D$54:D87)</f>
        <v>36460.250000000015</v>
      </c>
      <c r="J87" s="39">
        <f>SUM($F$54:F87)</f>
        <v>8027.9173176389959</v>
      </c>
      <c r="K87" s="5"/>
      <c r="L87" s="5"/>
      <c r="M87" s="5"/>
      <c r="N87" s="5"/>
      <c r="O87" s="5"/>
    </row>
    <row r="88" spans="2:15" x14ac:dyDescent="0.25">
      <c r="B88" s="38">
        <v>35</v>
      </c>
      <c r="C88" s="39">
        <f t="shared" si="6"/>
        <v>0</v>
      </c>
      <c r="D88" s="39">
        <f t="shared" si="7"/>
        <v>1092.0249999999999</v>
      </c>
      <c r="E88" s="39">
        <f t="shared" si="10"/>
        <v>45580.192317639005</v>
      </c>
      <c r="F88" s="39">
        <f t="shared" si="8"/>
        <v>501.42860115497911</v>
      </c>
      <c r="G88" s="39">
        <f t="shared" si="11"/>
        <v>46081.620918793982</v>
      </c>
      <c r="H88" s="38" t="str">
        <f t="shared" si="9"/>
        <v/>
      </c>
      <c r="I88" s="39">
        <f>SUM($C$54:C88)+SUM($D$54:D88)</f>
        <v>37552.275000000016</v>
      </c>
      <c r="J88" s="39">
        <f>SUM($F$54:F88)</f>
        <v>8529.3459187939752</v>
      </c>
      <c r="K88" s="5"/>
      <c r="L88" s="5"/>
      <c r="M88" s="5"/>
      <c r="N88" s="5"/>
      <c r="O88" s="5"/>
    </row>
    <row r="89" spans="2:15" x14ac:dyDescent="0.25">
      <c r="B89" s="38">
        <v>36</v>
      </c>
      <c r="C89" s="39">
        <f t="shared" si="6"/>
        <v>0</v>
      </c>
      <c r="D89" s="39">
        <f t="shared" si="7"/>
        <v>1092.0249999999999</v>
      </c>
      <c r="E89" s="39">
        <f t="shared" si="10"/>
        <v>47173.645918793984</v>
      </c>
      <c r="F89" s="39">
        <f t="shared" si="8"/>
        <v>518.95821587587398</v>
      </c>
      <c r="G89" s="39">
        <f t="shared" si="11"/>
        <v>47692.604134669855</v>
      </c>
      <c r="H89" s="45" t="str">
        <f t="shared" si="9"/>
        <v>Mês 36</v>
      </c>
      <c r="I89" s="39">
        <f>SUM($C$54:C89)+SUM($D$54:D89)</f>
        <v>38644.300000000017</v>
      </c>
      <c r="J89" s="39">
        <f>SUM($F$54:F89)</f>
        <v>9048.3041346698483</v>
      </c>
      <c r="K89" s="5"/>
      <c r="L89" s="5"/>
      <c r="M89" s="5"/>
      <c r="N89" s="5"/>
      <c r="O89" s="5"/>
    </row>
    <row r="90" spans="2:15" x14ac:dyDescent="0.25">
      <c r="B90" s="38">
        <v>37</v>
      </c>
      <c r="C90" s="39">
        <f t="shared" si="6"/>
        <v>0</v>
      </c>
      <c r="D90" s="39">
        <f t="shared" si="7"/>
        <v>1141.1661249999997</v>
      </c>
      <c r="E90" s="39">
        <f t="shared" si="10"/>
        <v>48833.770259669851</v>
      </c>
      <c r="F90" s="39">
        <f t="shared" si="8"/>
        <v>537.22127672887905</v>
      </c>
      <c r="G90" s="39">
        <f t="shared" si="11"/>
        <v>49370.991536398731</v>
      </c>
      <c r="H90" s="38" t="str">
        <f t="shared" si="9"/>
        <v/>
      </c>
      <c r="I90" s="39">
        <f>SUM($C$54:C90)+SUM($D$54:D90)</f>
        <v>39785.466125000021</v>
      </c>
      <c r="J90" s="39">
        <f>SUM($F$54:F90)</f>
        <v>9585.5254113987266</v>
      </c>
      <c r="K90" s="5"/>
      <c r="L90" s="5"/>
      <c r="M90" s="5"/>
      <c r="N90" s="5"/>
      <c r="O90" s="5"/>
    </row>
    <row r="91" spans="2:15" x14ac:dyDescent="0.25">
      <c r="B91" s="38">
        <v>38</v>
      </c>
      <c r="C91" s="39">
        <f t="shared" si="6"/>
        <v>0</v>
      </c>
      <c r="D91" s="39">
        <f t="shared" si="7"/>
        <v>1141.1661249999997</v>
      </c>
      <c r="E91" s="39">
        <f t="shared" si="10"/>
        <v>50512.157661398727</v>
      </c>
      <c r="F91" s="39">
        <f t="shared" si="8"/>
        <v>555.68524987713113</v>
      </c>
      <c r="G91" s="39">
        <f t="shared" si="11"/>
        <v>51067.84291127586</v>
      </c>
      <c r="H91" s="38" t="str">
        <f t="shared" si="9"/>
        <v/>
      </c>
      <c r="I91" s="39">
        <f>SUM($C$54:C91)+SUM($D$54:D91)</f>
        <v>40926.632250000024</v>
      </c>
      <c r="J91" s="39">
        <f>SUM($F$54:F91)</f>
        <v>10141.210661275858</v>
      </c>
      <c r="K91" s="5"/>
      <c r="L91" s="5"/>
      <c r="M91" s="5"/>
      <c r="N91" s="5"/>
      <c r="O91" s="5"/>
    </row>
    <row r="92" spans="2:15" x14ac:dyDescent="0.25">
      <c r="B92" s="38">
        <v>39</v>
      </c>
      <c r="C92" s="39">
        <f t="shared" si="6"/>
        <v>0</v>
      </c>
      <c r="D92" s="39">
        <f t="shared" si="7"/>
        <v>1141.1661249999997</v>
      </c>
      <c r="E92" s="39">
        <f t="shared" si="10"/>
        <v>52209.009036275864</v>
      </c>
      <c r="F92" s="39">
        <f t="shared" si="8"/>
        <v>574.35234556078137</v>
      </c>
      <c r="G92" s="39">
        <f t="shared" si="11"/>
        <v>52783.361381836643</v>
      </c>
      <c r="H92" s="38" t="str">
        <f t="shared" si="9"/>
        <v/>
      </c>
      <c r="I92" s="39">
        <f>SUM($C$54:C92)+SUM($D$54:D92)</f>
        <v>42067.798375000028</v>
      </c>
      <c r="J92" s="39">
        <f>SUM($F$54:F92)</f>
        <v>10715.563006836639</v>
      </c>
      <c r="K92" s="5"/>
      <c r="L92" s="5"/>
      <c r="M92" s="5"/>
      <c r="N92" s="5"/>
      <c r="O92" s="5"/>
    </row>
    <row r="93" spans="2:15" x14ac:dyDescent="0.25">
      <c r="B93" s="38">
        <v>40</v>
      </c>
      <c r="C93" s="39">
        <f t="shared" si="6"/>
        <v>0</v>
      </c>
      <c r="D93" s="39">
        <f t="shared" si="7"/>
        <v>1141.1661249999997</v>
      </c>
      <c r="E93" s="39">
        <f t="shared" si="10"/>
        <v>53924.527506836646</v>
      </c>
      <c r="F93" s="39">
        <f t="shared" si="8"/>
        <v>593.2247983348766</v>
      </c>
      <c r="G93" s="39">
        <f t="shared" si="11"/>
        <v>54517.752305171525</v>
      </c>
      <c r="H93" s="38" t="str">
        <f t="shared" si="9"/>
        <v/>
      </c>
      <c r="I93" s="39">
        <f>SUM($C$54:C93)+SUM($D$54:D93)</f>
        <v>43208.964500000031</v>
      </c>
      <c r="J93" s="39">
        <f>SUM($F$54:F93)</f>
        <v>11308.787805171516</v>
      </c>
      <c r="K93" s="5"/>
      <c r="L93" s="5"/>
      <c r="M93" s="5"/>
      <c r="N93" s="5"/>
      <c r="O93" s="5"/>
    </row>
    <row r="94" spans="2:15" x14ac:dyDescent="0.25">
      <c r="B94" s="38">
        <v>41</v>
      </c>
      <c r="C94" s="39">
        <f t="shared" si="6"/>
        <v>0</v>
      </c>
      <c r="D94" s="39">
        <f t="shared" si="7"/>
        <v>1141.1661249999997</v>
      </c>
      <c r="E94" s="39">
        <f t="shared" si="10"/>
        <v>55658.918430171529</v>
      </c>
      <c r="F94" s="39">
        <f t="shared" si="8"/>
        <v>612.30486733684859</v>
      </c>
      <c r="G94" s="39">
        <f t="shared" si="11"/>
        <v>56271.223297508375</v>
      </c>
      <c r="H94" s="38" t="str">
        <f t="shared" si="9"/>
        <v/>
      </c>
      <c r="I94" s="39">
        <f>SUM($C$54:C94)+SUM($D$54:D94)</f>
        <v>44350.130625000034</v>
      </c>
      <c r="J94" s="39">
        <f>SUM($F$54:F94)</f>
        <v>11921.092672508365</v>
      </c>
      <c r="K94" s="5"/>
      <c r="L94" s="5"/>
      <c r="M94" s="5"/>
      <c r="N94" s="5"/>
      <c r="O94" s="5"/>
    </row>
    <row r="95" spans="2:15" x14ac:dyDescent="0.25">
      <c r="B95" s="38">
        <v>42</v>
      </c>
      <c r="C95" s="39">
        <f t="shared" si="6"/>
        <v>0</v>
      </c>
      <c r="D95" s="39">
        <f t="shared" si="7"/>
        <v>1141.1661249999997</v>
      </c>
      <c r="E95" s="39">
        <f t="shared" si="10"/>
        <v>57412.389422508379</v>
      </c>
      <c r="F95" s="39">
        <f t="shared" si="8"/>
        <v>631.5948365569443</v>
      </c>
      <c r="G95" s="39">
        <f t="shared" si="11"/>
        <v>58043.984259065321</v>
      </c>
      <c r="H95" s="38" t="str">
        <f t="shared" si="9"/>
        <v/>
      </c>
      <c r="I95" s="39">
        <f>SUM($C$54:C95)+SUM($D$54:D95)</f>
        <v>45491.296750000038</v>
      </c>
      <c r="J95" s="39">
        <f>SUM($F$54:F95)</f>
        <v>12552.687509065308</v>
      </c>
      <c r="K95" s="5"/>
      <c r="L95" s="5"/>
      <c r="M95" s="5"/>
      <c r="N95" s="5"/>
      <c r="O95" s="5"/>
    </row>
    <row r="96" spans="2:15" x14ac:dyDescent="0.25">
      <c r="B96" s="38">
        <v>43</v>
      </c>
      <c r="C96" s="39">
        <f t="shared" si="6"/>
        <v>0</v>
      </c>
      <c r="D96" s="39">
        <f t="shared" si="7"/>
        <v>1141.1661249999997</v>
      </c>
      <c r="E96" s="39">
        <f t="shared" si="10"/>
        <v>59185.150384065317</v>
      </c>
      <c r="F96" s="39">
        <f t="shared" si="8"/>
        <v>651.09701511163303</v>
      </c>
      <c r="G96" s="39">
        <f t="shared" si="11"/>
        <v>59836.247399176951</v>
      </c>
      <c r="H96" s="38" t="str">
        <f t="shared" si="9"/>
        <v/>
      </c>
      <c r="I96" s="39">
        <f>SUM($C$54:C96)+SUM($D$54:D96)</f>
        <v>46632.462875000041</v>
      </c>
      <c r="J96" s="39">
        <f>SUM($F$54:F96)</f>
        <v>13203.784524176941</v>
      </c>
      <c r="K96" s="5"/>
      <c r="L96" s="5"/>
      <c r="M96" s="5"/>
      <c r="N96" s="5"/>
      <c r="O96" s="5"/>
    </row>
    <row r="97" spans="2:15" x14ac:dyDescent="0.25">
      <c r="B97" s="38">
        <v>44</v>
      </c>
      <c r="C97" s="39">
        <f t="shared" si="6"/>
        <v>0</v>
      </c>
      <c r="D97" s="39">
        <f t="shared" si="7"/>
        <v>1141.1661249999997</v>
      </c>
      <c r="E97" s="39">
        <f t="shared" si="10"/>
        <v>60977.413524176955</v>
      </c>
      <c r="F97" s="39">
        <f t="shared" si="8"/>
        <v>670.81373752002071</v>
      </c>
      <c r="G97" s="39">
        <f t="shared" si="11"/>
        <v>61648.227261696979</v>
      </c>
      <c r="H97" s="38" t="str">
        <f t="shared" si="9"/>
        <v/>
      </c>
      <c r="I97" s="39">
        <f>SUM($C$54:C97)+SUM($D$54:D97)</f>
        <v>47773.629000000044</v>
      </c>
      <c r="J97" s="39">
        <f>SUM($F$54:F97)</f>
        <v>13874.598261696961</v>
      </c>
      <c r="K97" s="5"/>
      <c r="L97" s="5"/>
      <c r="M97" s="5"/>
      <c r="N97" s="5"/>
      <c r="O97" s="5"/>
    </row>
    <row r="98" spans="2:15" x14ac:dyDescent="0.25">
      <c r="B98" s="38">
        <v>45</v>
      </c>
      <c r="C98" s="39">
        <f t="shared" si="6"/>
        <v>0</v>
      </c>
      <c r="D98" s="39">
        <f t="shared" si="7"/>
        <v>1141.1661249999997</v>
      </c>
      <c r="E98" s="39">
        <f t="shared" si="10"/>
        <v>62789.393386696975</v>
      </c>
      <c r="F98" s="39">
        <f t="shared" si="8"/>
        <v>690.74736398330344</v>
      </c>
      <c r="G98" s="39">
        <f t="shared" si="11"/>
        <v>63480.140750680279</v>
      </c>
      <c r="H98" s="38" t="str">
        <f t="shared" si="9"/>
        <v/>
      </c>
      <c r="I98" s="39">
        <f>SUM($C$54:C98)+SUM($D$54:D98)</f>
        <v>48914.795125000048</v>
      </c>
      <c r="J98" s="39">
        <f>SUM($F$54:F98)</f>
        <v>14565.345625680266</v>
      </c>
      <c r="K98" s="5"/>
      <c r="L98" s="5"/>
      <c r="M98" s="5"/>
      <c r="N98" s="5"/>
      <c r="O98" s="5"/>
    </row>
    <row r="99" spans="2:15" x14ac:dyDescent="0.25">
      <c r="B99" s="38">
        <v>46</v>
      </c>
      <c r="C99" s="39">
        <f t="shared" si="6"/>
        <v>0</v>
      </c>
      <c r="D99" s="39">
        <f t="shared" si="7"/>
        <v>1141.1661249999997</v>
      </c>
      <c r="E99" s="39">
        <f t="shared" si="10"/>
        <v>64621.306875680282</v>
      </c>
      <c r="F99" s="39">
        <f t="shared" si="8"/>
        <v>710.90028066729815</v>
      </c>
      <c r="G99" s="39">
        <f t="shared" si="11"/>
        <v>65332.207156347584</v>
      </c>
      <c r="H99" s="38" t="str">
        <f t="shared" si="9"/>
        <v/>
      </c>
      <c r="I99" s="39">
        <f>SUM($C$54:C99)+SUM($D$54:D99)</f>
        <v>50055.961250000051</v>
      </c>
      <c r="J99" s="39">
        <f>SUM($F$54:F99)</f>
        <v>15276.245906347564</v>
      </c>
      <c r="K99" s="5"/>
      <c r="L99" s="5"/>
      <c r="M99" s="5"/>
      <c r="N99" s="5"/>
      <c r="O99" s="5"/>
    </row>
    <row r="100" spans="2:15" x14ac:dyDescent="0.25">
      <c r="B100" s="38">
        <v>47</v>
      </c>
      <c r="C100" s="39">
        <f t="shared" si="6"/>
        <v>0</v>
      </c>
      <c r="D100" s="39">
        <f t="shared" si="7"/>
        <v>1141.1661249999997</v>
      </c>
      <c r="E100" s="39">
        <f t="shared" si="10"/>
        <v>66473.37328134758</v>
      </c>
      <c r="F100" s="39">
        <f t="shared" si="8"/>
        <v>731.27489998807914</v>
      </c>
      <c r="G100" s="39">
        <f t="shared" si="11"/>
        <v>67204.648181335666</v>
      </c>
      <c r="H100" s="38" t="str">
        <f t="shared" si="9"/>
        <v/>
      </c>
      <c r="I100" s="39">
        <f>SUM($C$54:C100)+SUM($D$54:D100)</f>
        <v>51197.127375000055</v>
      </c>
      <c r="J100" s="39">
        <f>SUM($F$54:F100)</f>
        <v>16007.520806335642</v>
      </c>
      <c r="K100" s="5"/>
      <c r="L100" s="5"/>
      <c r="M100" s="5"/>
      <c r="N100" s="5"/>
      <c r="O100" s="5"/>
    </row>
    <row r="101" spans="2:15" x14ac:dyDescent="0.25">
      <c r="B101" s="38">
        <v>48</v>
      </c>
      <c r="C101" s="39">
        <f t="shared" si="6"/>
        <v>0</v>
      </c>
      <c r="D101" s="39">
        <f t="shared" si="7"/>
        <v>1141.1661249999997</v>
      </c>
      <c r="E101" s="39">
        <f t="shared" si="10"/>
        <v>68345.814306335669</v>
      </c>
      <c r="F101" s="39">
        <f t="shared" si="8"/>
        <v>751.87366090075818</v>
      </c>
      <c r="G101" s="39">
        <f t="shared" si="11"/>
        <v>69097.68796723643</v>
      </c>
      <c r="H101" s="45" t="str">
        <f t="shared" si="9"/>
        <v>Mês 48</v>
      </c>
      <c r="I101" s="39">
        <f>SUM($C$54:C101)+SUM($D$54:D101)</f>
        <v>52338.293500000058</v>
      </c>
      <c r="J101" s="39">
        <f>SUM($F$54:F101)</f>
        <v>16759.394467236401</v>
      </c>
      <c r="K101" s="5"/>
      <c r="L101" s="5"/>
      <c r="M101" s="5"/>
      <c r="N101" s="5"/>
      <c r="O101" s="5"/>
    </row>
    <row r="102" spans="2:15" x14ac:dyDescent="0.25">
      <c r="B102" s="38">
        <v>49</v>
      </c>
      <c r="C102" s="39">
        <f t="shared" si="6"/>
        <v>0</v>
      </c>
      <c r="D102" s="39">
        <f t="shared" si="7"/>
        <v>1192.5186006249994</v>
      </c>
      <c r="E102" s="39">
        <f t="shared" si="10"/>
        <v>70290.206567861431</v>
      </c>
      <c r="F102" s="39">
        <f t="shared" si="8"/>
        <v>773.26395879592803</v>
      </c>
      <c r="G102" s="39">
        <f t="shared" si="11"/>
        <v>71063.470526657358</v>
      </c>
      <c r="H102" s="38" t="str">
        <f t="shared" si="9"/>
        <v/>
      </c>
      <c r="I102" s="39">
        <f>SUM($C$54:C102)+SUM($D$54:D102)</f>
        <v>53530.812100625059</v>
      </c>
      <c r="J102" s="39">
        <f>SUM($F$54:F102)</f>
        <v>17532.658426032329</v>
      </c>
      <c r="K102" s="5"/>
      <c r="L102" s="5"/>
      <c r="M102" s="5"/>
      <c r="N102" s="5"/>
      <c r="O102" s="5"/>
    </row>
    <row r="103" spans="2:15" x14ac:dyDescent="0.25">
      <c r="B103" s="38">
        <v>50</v>
      </c>
      <c r="C103" s="39">
        <f t="shared" si="6"/>
        <v>0</v>
      </c>
      <c r="D103" s="39">
        <f t="shared" si="7"/>
        <v>1192.5186006249994</v>
      </c>
      <c r="E103" s="39">
        <f t="shared" si="10"/>
        <v>72255.989127282359</v>
      </c>
      <c r="F103" s="39">
        <f t="shared" si="8"/>
        <v>794.88957178316934</v>
      </c>
      <c r="G103" s="39">
        <f t="shared" si="11"/>
        <v>73050.878699065535</v>
      </c>
      <c r="H103" s="38" t="str">
        <f t="shared" si="9"/>
        <v/>
      </c>
      <c r="I103" s="39">
        <f>SUM($C$54:C103)+SUM($D$54:D103)</f>
        <v>54723.330701250059</v>
      </c>
      <c r="J103" s="39">
        <f>SUM($F$54:F103)</f>
        <v>18327.547997815498</v>
      </c>
      <c r="K103" s="5"/>
      <c r="L103" s="5"/>
      <c r="M103" s="5"/>
      <c r="N103" s="5"/>
      <c r="O103" s="5"/>
    </row>
    <row r="104" spans="2:15" x14ac:dyDescent="0.25">
      <c r="B104" s="38">
        <v>51</v>
      </c>
      <c r="C104" s="39">
        <f t="shared" si="6"/>
        <v>0</v>
      </c>
      <c r="D104" s="39">
        <f t="shared" si="7"/>
        <v>1192.5186006249994</v>
      </c>
      <c r="E104" s="39">
        <f t="shared" si="10"/>
        <v>74243.397299690536</v>
      </c>
      <c r="F104" s="39">
        <f t="shared" si="8"/>
        <v>816.75308856848471</v>
      </c>
      <c r="G104" s="39">
        <f t="shared" si="11"/>
        <v>75060.150388259019</v>
      </c>
      <c r="H104" s="38" t="str">
        <f t="shared" si="9"/>
        <v/>
      </c>
      <c r="I104" s="39">
        <f>SUM($C$54:C104)+SUM($D$54:D104)</f>
        <v>55915.84930187506</v>
      </c>
      <c r="J104" s="39">
        <f>SUM($F$54:F104)</f>
        <v>19144.301086383985</v>
      </c>
      <c r="K104" s="5"/>
      <c r="L104" s="5"/>
      <c r="M104" s="5"/>
      <c r="N104" s="5"/>
      <c r="O104" s="5"/>
    </row>
    <row r="105" spans="2:15" x14ac:dyDescent="0.25">
      <c r="B105" s="38">
        <v>52</v>
      </c>
      <c r="C105" s="39">
        <f t="shared" si="6"/>
        <v>0</v>
      </c>
      <c r="D105" s="39">
        <f t="shared" si="7"/>
        <v>1192.5186006249994</v>
      </c>
      <c r="E105" s="39">
        <f t="shared" si="10"/>
        <v>76252.668988884019</v>
      </c>
      <c r="F105" s="39">
        <f t="shared" si="8"/>
        <v>838.8571263362827</v>
      </c>
      <c r="G105" s="39">
        <f t="shared" si="11"/>
        <v>77091.526115220302</v>
      </c>
      <c r="H105" s="38" t="str">
        <f t="shared" si="9"/>
        <v/>
      </c>
      <c r="I105" s="39">
        <f>SUM($C$54:C105)+SUM($D$54:D105)</f>
        <v>57108.36790250006</v>
      </c>
      <c r="J105" s="39">
        <f>SUM($F$54:F105)</f>
        <v>19983.158212720267</v>
      </c>
      <c r="K105" s="5"/>
      <c r="L105" s="5"/>
      <c r="M105" s="5"/>
      <c r="N105" s="5"/>
      <c r="O105" s="5"/>
    </row>
    <row r="106" spans="2:15" x14ac:dyDescent="0.25">
      <c r="B106" s="38">
        <v>53</v>
      </c>
      <c r="C106" s="39">
        <f t="shared" si="6"/>
        <v>0</v>
      </c>
      <c r="D106" s="39">
        <f t="shared" si="7"/>
        <v>1192.5186006249994</v>
      </c>
      <c r="E106" s="39">
        <f t="shared" si="10"/>
        <v>78284.044715845303</v>
      </c>
      <c r="F106" s="39">
        <f t="shared" si="8"/>
        <v>861.20433106266989</v>
      </c>
      <c r="G106" s="39">
        <f t="shared" si="11"/>
        <v>79145.249046907978</v>
      </c>
      <c r="H106" s="38" t="str">
        <f t="shared" si="9"/>
        <v/>
      </c>
      <c r="I106" s="39">
        <f>SUM($C$54:C106)+SUM($D$54:D106)</f>
        <v>58300.886503125061</v>
      </c>
      <c r="J106" s="39">
        <f>SUM($F$54:F106)</f>
        <v>20844.362543782936</v>
      </c>
      <c r="K106" s="5"/>
      <c r="L106" s="5"/>
      <c r="M106" s="5"/>
      <c r="N106" s="5"/>
      <c r="O106" s="5"/>
    </row>
    <row r="107" spans="2:15" x14ac:dyDescent="0.25">
      <c r="B107" s="38">
        <v>54</v>
      </c>
      <c r="C107" s="39">
        <f t="shared" si="6"/>
        <v>0</v>
      </c>
      <c r="D107" s="39">
        <f t="shared" si="7"/>
        <v>1192.5186006249994</v>
      </c>
      <c r="E107" s="39">
        <f t="shared" si="10"/>
        <v>80337.767647532979</v>
      </c>
      <c r="F107" s="39">
        <f t="shared" si="8"/>
        <v>883.79737783218809</v>
      </c>
      <c r="G107" s="39">
        <f t="shared" si="11"/>
        <v>81221.565025365169</v>
      </c>
      <c r="H107" s="38" t="str">
        <f t="shared" si="9"/>
        <v/>
      </c>
      <c r="I107" s="39">
        <f>SUM($C$54:C107)+SUM($D$54:D107)</f>
        <v>59493.405103750061</v>
      </c>
      <c r="J107" s="39">
        <f>SUM($F$54:F107)</f>
        <v>21728.159921615123</v>
      </c>
      <c r="K107" s="5"/>
      <c r="L107" s="5"/>
      <c r="M107" s="5"/>
      <c r="N107" s="5"/>
      <c r="O107" s="5"/>
    </row>
    <row r="108" spans="2:15" x14ac:dyDescent="0.25">
      <c r="B108" s="38">
        <v>55</v>
      </c>
      <c r="C108" s="39">
        <f t="shared" si="6"/>
        <v>0</v>
      </c>
      <c r="D108" s="39">
        <f t="shared" si="7"/>
        <v>1192.5186006249994</v>
      </c>
      <c r="E108" s="39">
        <f t="shared" si="10"/>
        <v>82414.08362599017</v>
      </c>
      <c r="F108" s="39">
        <f t="shared" si="8"/>
        <v>906.63897115803763</v>
      </c>
      <c r="G108" s="39">
        <f t="shared" si="11"/>
        <v>83320.722597148211</v>
      </c>
      <c r="H108" s="38" t="str">
        <f t="shared" si="9"/>
        <v/>
      </c>
      <c r="I108" s="39">
        <f>SUM($C$54:C108)+SUM($D$54:D108)</f>
        <v>60685.923704375062</v>
      </c>
      <c r="J108" s="39">
        <f>SUM($F$54:F108)</f>
        <v>22634.79889277316</v>
      </c>
      <c r="K108" s="5"/>
      <c r="L108" s="5"/>
      <c r="M108" s="5"/>
      <c r="N108" s="5"/>
      <c r="O108" s="5"/>
    </row>
    <row r="109" spans="2:15" x14ac:dyDescent="0.25">
      <c r="B109" s="38">
        <v>56</v>
      </c>
      <c r="C109" s="39">
        <f t="shared" si="6"/>
        <v>0</v>
      </c>
      <c r="D109" s="39">
        <f t="shared" si="7"/>
        <v>1192.5186006249994</v>
      </c>
      <c r="E109" s="39">
        <f t="shared" si="10"/>
        <v>84513.241197773212</v>
      </c>
      <c r="F109" s="39">
        <f t="shared" si="8"/>
        <v>929.73184530582216</v>
      </c>
      <c r="G109" s="39">
        <f t="shared" si="11"/>
        <v>85442.973043079037</v>
      </c>
      <c r="H109" s="38" t="str">
        <f t="shared" si="9"/>
        <v/>
      </c>
      <c r="I109" s="39">
        <f>SUM($C$54:C109)+SUM($D$54:D109)</f>
        <v>61878.442305000062</v>
      </c>
      <c r="J109" s="39">
        <f>SUM($F$54:F109)</f>
        <v>23564.530738078982</v>
      </c>
      <c r="K109" s="5"/>
      <c r="L109" s="5"/>
      <c r="M109" s="5"/>
      <c r="N109" s="5"/>
      <c r="O109" s="5"/>
    </row>
    <row r="110" spans="2:15" x14ac:dyDescent="0.25">
      <c r="B110" s="38">
        <v>57</v>
      </c>
      <c r="C110" s="39">
        <f t="shared" si="6"/>
        <v>0</v>
      </c>
      <c r="D110" s="39">
        <f t="shared" si="7"/>
        <v>1192.5186006249994</v>
      </c>
      <c r="E110" s="39">
        <f t="shared" si="10"/>
        <v>86635.491643704037</v>
      </c>
      <c r="F110" s="39">
        <f t="shared" si="8"/>
        <v>953.07876462085562</v>
      </c>
      <c r="G110" s="39">
        <f t="shared" si="11"/>
        <v>87588.5704083249</v>
      </c>
      <c r="H110" s="38" t="str">
        <f t="shared" si="9"/>
        <v/>
      </c>
      <c r="I110" s="39">
        <f>SUM($C$54:C110)+SUM($D$54:D110)</f>
        <v>63070.960905625063</v>
      </c>
      <c r="J110" s="39">
        <f>SUM($F$54:F110)</f>
        <v>24517.609502699837</v>
      </c>
      <c r="K110" s="5"/>
      <c r="L110" s="5"/>
      <c r="M110" s="5"/>
      <c r="N110" s="5"/>
      <c r="O110" s="5"/>
    </row>
    <row r="111" spans="2:15" x14ac:dyDescent="0.25">
      <c r="B111" s="38">
        <v>58</v>
      </c>
      <c r="C111" s="39">
        <f t="shared" si="6"/>
        <v>0</v>
      </c>
      <c r="D111" s="39">
        <f t="shared" si="7"/>
        <v>1192.5186006249994</v>
      </c>
      <c r="E111" s="39">
        <f t="shared" si="10"/>
        <v>88781.089008949901</v>
      </c>
      <c r="F111" s="39">
        <f t="shared" si="8"/>
        <v>976.68252385906953</v>
      </c>
      <c r="G111" s="39">
        <f t="shared" si="11"/>
        <v>89757.771532808969</v>
      </c>
      <c r="H111" s="38" t="str">
        <f t="shared" si="9"/>
        <v/>
      </c>
      <c r="I111" s="39">
        <f>SUM($C$54:C111)+SUM($D$54:D111)</f>
        <v>64263.479506250063</v>
      </c>
      <c r="J111" s="39">
        <f>SUM($F$54:F111)</f>
        <v>25494.292026558905</v>
      </c>
      <c r="K111" s="5"/>
      <c r="L111" s="5"/>
      <c r="M111" s="5"/>
      <c r="N111" s="5"/>
      <c r="O111" s="5"/>
    </row>
    <row r="112" spans="2:15" x14ac:dyDescent="0.25">
      <c r="B112" s="38">
        <v>59</v>
      </c>
      <c r="C112" s="39">
        <f t="shared" si="6"/>
        <v>0</v>
      </c>
      <c r="D112" s="39">
        <f t="shared" si="7"/>
        <v>1192.5186006249994</v>
      </c>
      <c r="E112" s="39">
        <f t="shared" si="10"/>
        <v>90950.290133433969</v>
      </c>
      <c r="F112" s="39">
        <f t="shared" si="8"/>
        <v>1000.5459485215612</v>
      </c>
      <c r="G112" s="39">
        <f t="shared" si="11"/>
        <v>91950.836081955524</v>
      </c>
      <c r="H112" s="38" t="str">
        <f t="shared" si="9"/>
        <v/>
      </c>
      <c r="I112" s="39">
        <f>SUM($C$54:C112)+SUM($D$54:D112)</f>
        <v>65455.998106875064</v>
      </c>
      <c r="J112" s="39">
        <f>SUM($F$54:F112)</f>
        <v>26494.837975080467</v>
      </c>
      <c r="K112" s="5"/>
      <c r="L112" s="5"/>
      <c r="M112" s="5"/>
      <c r="N112" s="5"/>
      <c r="O112" s="5"/>
    </row>
    <row r="113" spans="2:15" x14ac:dyDescent="0.25">
      <c r="B113" s="38">
        <v>60</v>
      </c>
      <c r="C113" s="39">
        <f t="shared" si="6"/>
        <v>0</v>
      </c>
      <c r="D113" s="39">
        <f t="shared" si="7"/>
        <v>1192.5186006249994</v>
      </c>
      <c r="E113" s="39">
        <f t="shared" si="10"/>
        <v>93143.354682580524</v>
      </c>
      <c r="F113" s="39">
        <f t="shared" si="8"/>
        <v>1024.671895192821</v>
      </c>
      <c r="G113" s="39">
        <f t="shared" si="11"/>
        <v>94168.026577773344</v>
      </c>
      <c r="H113" s="45" t="str">
        <f t="shared" si="9"/>
        <v>Mês 60</v>
      </c>
      <c r="I113" s="39">
        <f>SUM($C$54:C113)+SUM($D$54:D113)</f>
        <v>66648.516707500065</v>
      </c>
      <c r="J113" s="39">
        <f>SUM($F$54:F113)</f>
        <v>27519.509870273287</v>
      </c>
      <c r="K113" s="5"/>
      <c r="L113" s="5"/>
      <c r="M113" s="5"/>
      <c r="N113" s="5"/>
      <c r="O113" s="5"/>
    </row>
    <row r="114" spans="2:15" x14ac:dyDescent="0.25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</row>
  </sheetData>
  <autoFilter ref="B24:H113" xr:uid="{00000000-0009-0000-0000-000001000000}"/>
  <mergeCells count="11">
    <mergeCell ref="B52:J52"/>
    <mergeCell ref="B23:H23"/>
    <mergeCell ref="L6:N6"/>
    <mergeCell ref="L7:N7"/>
    <mergeCell ref="B2:G3"/>
    <mergeCell ref="L10:N10"/>
    <mergeCell ref="I2:N3"/>
    <mergeCell ref="L5:N5"/>
    <mergeCell ref="L9:N9"/>
    <mergeCell ref="L8:N8"/>
    <mergeCell ref="I23:O23"/>
  </mergeCells>
  <dataValidations count="4">
    <dataValidation type="list" sqref="C6" xr:uid="{00000000-0002-0000-0100-000000000000}">
      <formula1>$B$25:$B$52</formula1>
    </dataValidation>
    <dataValidation type="list" sqref="C17" xr:uid="{00000000-0002-0000-0100-000001000000}">
      <formula1>"Sim,Não"</formula1>
    </dataValidation>
    <dataValidation type="list" sqref="C18" xr:uid="{00000000-0002-0000-0100-000002000000}">
      <formula1>"Conservador,Moderado,Arrojado"</formula1>
    </dataValidation>
    <dataValidation type="list" allowBlank="1" showInputMessage="1" showErrorMessage="1" sqref="J12" xr:uid="{CAD7FF24-1F36-4D6B-9C0F-59C26AF334DD}">
      <formula1>"SIM,NÃO"</formula1>
    </dataValidation>
  </dataValidations>
  <pageMargins left="0.75" right="0.75" top="1" bottom="1" header="0.5" footer="0.5"/>
  <pageSetup fitToHeight="0" orientation="landscape" r:id="rId1"/>
  <ignoredErrors>
    <ignoredError sqref="C7:C10 C19" emptyCellReferenc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Home</vt:lpstr>
      <vt:lpstr>Simulação</vt:lpstr>
      <vt:lpstr>Home!Area_de_impressao</vt:lpstr>
      <vt:lpstr>Simulação!Area_de_impressao</vt:lpstr>
      <vt:lpstr>ListaCodigos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Freitas</dc:creator>
  <cp:lastModifiedBy>Barbara Freitas</cp:lastModifiedBy>
  <dcterms:created xsi:type="dcterms:W3CDTF">2026-09-03T22:04:49Z</dcterms:created>
  <dcterms:modified xsi:type="dcterms:W3CDTF">2026-09-07T00:26:37Z</dcterms:modified>
</cp:coreProperties>
</file>